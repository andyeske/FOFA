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yeske/Desktop/Fall 2025/Optimization Methods/Project/Processed Datasets/"/>
    </mc:Choice>
  </mc:AlternateContent>
  <xr:revisionPtr revIDLastSave="0" documentId="13_ncr:1_{2B756B2E-AACB-324E-B067-232D1944D57B}" xr6:coauthVersionLast="47" xr6:coauthVersionMax="47" xr10:uidLastSave="{00000000-0000-0000-0000-000000000000}"/>
  <bookViews>
    <workbookView xWindow="1920" yWindow="820" windowWidth="26260" windowHeight="17360" xr2:uid="{7CBF7E08-C6C4-A045-9677-85FC55C6D140}"/>
  </bookViews>
  <sheets>
    <sheet name="Average Stage Length" sheetId="1" r:id="rId1"/>
    <sheet name="Fuel Reduction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M21" i="1"/>
  <c r="M20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3" i="1"/>
  <c r="J22" i="1"/>
  <c r="J18" i="1"/>
  <c r="J4" i="1"/>
  <c r="J5" i="1"/>
  <c r="J6" i="1"/>
  <c r="J7" i="1"/>
  <c r="J3" i="1"/>
  <c r="G22" i="1"/>
  <c r="G17" i="1"/>
  <c r="G16" i="1"/>
  <c r="G13" i="1"/>
  <c r="D22" i="1"/>
  <c r="D21" i="1"/>
  <c r="D20" i="1"/>
  <c r="D12" i="1"/>
  <c r="D4" i="1"/>
  <c r="D3" i="1"/>
</calcChain>
</file>

<file path=xl/sharedStrings.xml><?xml version="1.0" encoding="utf-8"?>
<sst xmlns="http://schemas.openxmlformats.org/spreadsheetml/2006/main" count="44" uniqueCount="30">
  <si>
    <t>A320NEO</t>
  </si>
  <si>
    <t>A321NEO</t>
  </si>
  <si>
    <t>A319CEO</t>
  </si>
  <si>
    <t>A320CEO</t>
  </si>
  <si>
    <t>A321CEO</t>
  </si>
  <si>
    <t>A330-200</t>
  </si>
  <si>
    <t>A330-900</t>
  </si>
  <si>
    <t>ATR42-500</t>
  </si>
  <si>
    <t>ATR72-500</t>
  </si>
  <si>
    <t>ATR72-600</t>
  </si>
  <si>
    <t>B737-8</t>
  </si>
  <si>
    <t>B737-300</t>
  </si>
  <si>
    <t>B737-500</t>
  </si>
  <si>
    <t>B737-700</t>
  </si>
  <si>
    <t>B737-800</t>
  </si>
  <si>
    <t>B787-9</t>
  </si>
  <si>
    <t>C208</t>
  </si>
  <si>
    <t>E195</t>
  </si>
  <si>
    <t>E195-E2</t>
  </si>
  <si>
    <t>Airline</t>
  </si>
  <si>
    <t>Azul Linhas Aereas Brasileiras</t>
  </si>
  <si>
    <t>Gol Linhas Aereas</t>
  </si>
  <si>
    <t>LATAM Brasil</t>
  </si>
  <si>
    <t>Combined Brazilian National Airline</t>
  </si>
  <si>
    <t>Current</t>
  </si>
  <si>
    <t>Optimized</t>
  </si>
  <si>
    <t>System-wide</t>
  </si>
  <si>
    <t>% Change</t>
  </si>
  <si>
    <t>Average Stage Length (km)</t>
  </si>
  <si>
    <t>Load Factors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</si>
</sst>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%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1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0" fontId="0" fillId="0" borderId="3" xfId="0" applyBorder="1"/>
    <xf numFmtId="2" fontId="3" fillId="3" borderId="22" xfId="0" applyNumberFormat="1" applyFon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22" xfId="0" applyNumberFormat="1" applyBorder="1"/>
    <xf numFmtId="2" fontId="0" fillId="0" borderId="0" xfId="0" applyNumberFormat="1" applyBorder="1"/>
    <xf numFmtId="2" fontId="3" fillId="3" borderId="0" xfId="0" applyNumberFormat="1" applyFont="1" applyFill="1" applyBorder="1" applyAlignment="1">
      <alignment horizontal="center"/>
    </xf>
    <xf numFmtId="0" fontId="0" fillId="0" borderId="22" xfId="0" applyBorder="1"/>
    <xf numFmtId="0" fontId="0" fillId="0" borderId="0" xfId="0" applyBorder="1"/>
    <xf numFmtId="0" fontId="0" fillId="0" borderId="0" xfId="0" applyFill="1" applyBorder="1"/>
    <xf numFmtId="0" fontId="0" fillId="0" borderId="2" xfId="0" applyBorder="1"/>
    <xf numFmtId="2" fontId="0" fillId="0" borderId="6" xfId="0" applyNumberFormat="1" applyBorder="1" applyAlignment="1">
      <alignment horizontal="center"/>
    </xf>
    <xf numFmtId="2" fontId="4" fillId="0" borderId="6" xfId="0" applyNumberFormat="1" applyFont="1" applyBorder="1" applyAlignment="1">
      <alignment horizontal="center"/>
    </xf>
    <xf numFmtId="0" fontId="0" fillId="0" borderId="21" xfId="0" applyBorder="1"/>
    <xf numFmtId="0" fontId="0" fillId="0" borderId="7" xfId="0" applyBorder="1"/>
    <xf numFmtId="2" fontId="3" fillId="3" borderId="7" xfId="0" applyNumberFormat="1" applyFont="1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67" fontId="0" fillId="0" borderId="14" xfId="1" applyNumberFormat="1" applyFont="1" applyBorder="1" applyAlignment="1">
      <alignment horizontal="center"/>
    </xf>
    <xf numFmtId="167" fontId="0" fillId="0" borderId="15" xfId="1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7B91D-2144-7B43-A9A4-560B5D2999B4}">
  <dimension ref="A1:M23"/>
  <sheetViews>
    <sheetView tabSelected="1" workbookViewId="0">
      <selection activeCell="O15" sqref="O15"/>
    </sheetView>
  </sheetViews>
  <sheetFormatPr baseColWidth="10" defaultRowHeight="16" x14ac:dyDescent="0.2"/>
  <cols>
    <col min="1" max="1" width="24.5" customWidth="1"/>
    <col min="2" max="2" width="9.83203125" customWidth="1"/>
    <col min="3" max="3" width="10.5" customWidth="1"/>
    <col min="4" max="4" width="10.6640625" customWidth="1"/>
    <col min="5" max="5" width="9.1640625" customWidth="1"/>
    <col min="6" max="6" width="11.1640625" customWidth="1"/>
    <col min="7" max="7" width="11" customWidth="1"/>
    <col min="8" max="8" width="10.33203125" customWidth="1"/>
    <col min="9" max="9" width="11.6640625" customWidth="1"/>
    <col min="10" max="10" width="12.33203125" customWidth="1"/>
    <col min="11" max="12" width="10.83203125" customWidth="1"/>
    <col min="13" max="13" width="12.5" customWidth="1"/>
  </cols>
  <sheetData>
    <row r="1" spans="1:13" x14ac:dyDescent="0.2">
      <c r="A1" s="7" t="s">
        <v>19</v>
      </c>
      <c r="B1" s="8" t="s">
        <v>20</v>
      </c>
      <c r="C1" s="8"/>
      <c r="D1" s="8"/>
      <c r="E1" s="9" t="s">
        <v>21</v>
      </c>
      <c r="F1" s="8"/>
      <c r="G1" s="10"/>
      <c r="H1" s="8" t="s">
        <v>22</v>
      </c>
      <c r="I1" s="8"/>
      <c r="J1" s="8"/>
      <c r="K1" s="9" t="s">
        <v>23</v>
      </c>
      <c r="L1" s="8"/>
      <c r="M1" s="10"/>
    </row>
    <row r="2" spans="1:13" ht="17" thickBot="1" x14ac:dyDescent="0.25">
      <c r="A2" s="11" t="s">
        <v>28</v>
      </c>
      <c r="B2" s="12" t="s">
        <v>24</v>
      </c>
      <c r="C2" s="12" t="s">
        <v>25</v>
      </c>
      <c r="D2" s="13" t="s">
        <v>27</v>
      </c>
      <c r="E2" s="14" t="s">
        <v>24</v>
      </c>
      <c r="F2" s="12" t="s">
        <v>25</v>
      </c>
      <c r="G2" s="13" t="s">
        <v>27</v>
      </c>
      <c r="H2" s="12" t="s">
        <v>24</v>
      </c>
      <c r="I2" s="12" t="s">
        <v>25</v>
      </c>
      <c r="J2" s="13" t="s">
        <v>27</v>
      </c>
      <c r="K2" s="14" t="s">
        <v>24</v>
      </c>
      <c r="L2" s="12" t="s">
        <v>25</v>
      </c>
      <c r="M2" s="13" t="s">
        <v>27</v>
      </c>
    </row>
    <row r="3" spans="1:13" x14ac:dyDescent="0.2">
      <c r="A3" s="3" t="s">
        <v>0</v>
      </c>
      <c r="B3" s="15">
        <v>1351.55642091255</v>
      </c>
      <c r="C3" s="2">
        <v>1461</v>
      </c>
      <c r="D3" s="43">
        <f>(C3-B3)/C3</f>
        <v>7.4910047287782319E-2</v>
      </c>
      <c r="E3" s="1"/>
      <c r="F3" s="2"/>
      <c r="G3" s="6"/>
      <c r="H3" s="15">
        <v>1074.7026045039199</v>
      </c>
      <c r="I3" s="15">
        <v>2272.52</v>
      </c>
      <c r="J3" s="43">
        <f>(I3-H3)/H3</f>
        <v>1.1145570788385588</v>
      </c>
      <c r="K3" s="42">
        <v>1287.1414187068401</v>
      </c>
      <c r="L3" s="15">
        <v>1720.02</v>
      </c>
      <c r="M3" s="43">
        <f>(L3-K3)/K3</f>
        <v>0.33631003944233456</v>
      </c>
    </row>
    <row r="4" spans="1:13" x14ac:dyDescent="0.2">
      <c r="A4" s="3" t="s">
        <v>1</v>
      </c>
      <c r="B4" s="15">
        <v>2013.42874655225</v>
      </c>
      <c r="C4" s="15">
        <v>2534.44</v>
      </c>
      <c r="D4" s="43">
        <f>(C4-B4)/C4</f>
        <v>0.20557253414866797</v>
      </c>
      <c r="E4" s="1"/>
      <c r="F4" s="2"/>
      <c r="G4" s="6"/>
      <c r="H4" s="15">
        <v>1395.7922065077601</v>
      </c>
      <c r="I4" s="15">
        <v>2429.46</v>
      </c>
      <c r="J4" s="43">
        <f>(I4-H4)/H4</f>
        <v>0.74055994056483021</v>
      </c>
      <c r="K4" s="42">
        <v>1597.2531405151401</v>
      </c>
      <c r="L4" s="15">
        <v>2386.7600000000002</v>
      </c>
      <c r="M4" s="43">
        <f t="shared" ref="M4:M19" si="0">(L4-K4)/K4</f>
        <v>0.49429037856218039</v>
      </c>
    </row>
    <row r="5" spans="1:13" x14ac:dyDescent="0.2">
      <c r="A5" s="3" t="s">
        <v>2</v>
      </c>
      <c r="B5" s="15"/>
      <c r="C5" s="15"/>
      <c r="D5" s="43"/>
      <c r="E5" s="1"/>
      <c r="F5" s="2"/>
      <c r="G5" s="6"/>
      <c r="H5" s="15">
        <v>750.25715788510797</v>
      </c>
      <c r="I5" s="15">
        <v>399.11099999999999</v>
      </c>
      <c r="J5" s="43">
        <f>(I5-H5)/H5</f>
        <v>-0.46803439886525067</v>
      </c>
      <c r="K5" s="42">
        <v>750.25715788510797</v>
      </c>
      <c r="L5" s="15">
        <v>367.416</v>
      </c>
      <c r="M5" s="43">
        <f t="shared" si="0"/>
        <v>-0.51027991384220162</v>
      </c>
    </row>
    <row r="6" spans="1:13" x14ac:dyDescent="0.2">
      <c r="A6" s="3" t="s">
        <v>3</v>
      </c>
      <c r="B6" s="15"/>
      <c r="C6" s="15"/>
      <c r="D6" s="43"/>
      <c r="E6" s="1"/>
      <c r="F6" s="2"/>
      <c r="G6" s="6"/>
      <c r="H6" s="15">
        <v>1006.78259329466</v>
      </c>
      <c r="I6" s="15">
        <v>1159.23</v>
      </c>
      <c r="J6" s="43">
        <f>(I6-H6)/H6</f>
        <v>0.15142038382533143</v>
      </c>
      <c r="K6" s="42">
        <v>1006.78259329466</v>
      </c>
      <c r="L6" s="15">
        <v>614.33500000000004</v>
      </c>
      <c r="M6" s="43">
        <f t="shared" si="0"/>
        <v>-0.38980371324298457</v>
      </c>
    </row>
    <row r="7" spans="1:13" x14ac:dyDescent="0.2">
      <c r="A7" s="3" t="s">
        <v>4</v>
      </c>
      <c r="B7" s="15"/>
      <c r="C7" s="15"/>
      <c r="D7" s="43"/>
      <c r="E7" s="1"/>
      <c r="F7" s="2"/>
      <c r="G7" s="6"/>
      <c r="H7" s="15">
        <v>1363.2526279231299</v>
      </c>
      <c r="I7" s="15">
        <v>965.548</v>
      </c>
      <c r="J7" s="43">
        <f>(I7-H7)/H7</f>
        <v>-0.291732155711315</v>
      </c>
      <c r="K7" s="42">
        <v>1363.2326179065101</v>
      </c>
      <c r="L7" s="15">
        <v>1164.6600000000001</v>
      </c>
      <c r="M7" s="43">
        <f t="shared" si="0"/>
        <v>-0.14566304774269129</v>
      </c>
    </row>
    <row r="8" spans="1:13" x14ac:dyDescent="0.2">
      <c r="A8" s="3" t="s">
        <v>5</v>
      </c>
      <c r="B8" s="15"/>
      <c r="C8" s="15"/>
      <c r="D8" s="43"/>
      <c r="E8" s="1"/>
      <c r="F8" s="2"/>
      <c r="G8" s="6"/>
      <c r="H8" s="15"/>
      <c r="I8" s="15"/>
      <c r="J8" s="43"/>
      <c r="K8" s="42">
        <v>1822.27272727273</v>
      </c>
      <c r="L8" s="15">
        <v>1526.75</v>
      </c>
      <c r="M8" s="43">
        <f t="shared" si="0"/>
        <v>-0.16217261162384758</v>
      </c>
    </row>
    <row r="9" spans="1:13" x14ac:dyDescent="0.2">
      <c r="A9" s="3" t="s">
        <v>6</v>
      </c>
      <c r="B9" s="15"/>
      <c r="C9" s="15"/>
      <c r="D9" s="43"/>
      <c r="E9" s="1"/>
      <c r="F9" s="2"/>
      <c r="G9" s="6"/>
      <c r="H9" s="15"/>
      <c r="I9" s="15"/>
      <c r="J9" s="43"/>
      <c r="K9" s="42">
        <v>1865.09574468085</v>
      </c>
      <c r="L9" s="15">
        <v>786.87699999999995</v>
      </c>
      <c r="M9" s="43">
        <f t="shared" si="0"/>
        <v>-0.57810369669003336</v>
      </c>
    </row>
    <row r="10" spans="1:13" x14ac:dyDescent="0.2">
      <c r="A10" s="3" t="s">
        <v>7</v>
      </c>
      <c r="B10" s="15"/>
      <c r="C10" s="15"/>
      <c r="D10" s="43"/>
      <c r="E10" s="1"/>
      <c r="F10" s="2"/>
      <c r="G10" s="6"/>
      <c r="H10" s="15"/>
      <c r="I10" s="15"/>
      <c r="J10" s="43"/>
      <c r="K10" s="42">
        <v>547.23444773592905</v>
      </c>
      <c r="L10" s="15">
        <v>397.94799999999998</v>
      </c>
      <c r="M10" s="43">
        <f t="shared" si="0"/>
        <v>-0.27280162707879835</v>
      </c>
    </row>
    <row r="11" spans="1:13" x14ac:dyDescent="0.2">
      <c r="A11" s="3" t="s">
        <v>8</v>
      </c>
      <c r="B11" s="15"/>
      <c r="C11" s="15"/>
      <c r="D11" s="43"/>
      <c r="E11" s="1"/>
      <c r="F11" s="2"/>
      <c r="G11" s="6"/>
      <c r="H11" s="15"/>
      <c r="I11" s="15"/>
      <c r="J11" s="43"/>
      <c r="K11" s="42">
        <v>444.790676691729</v>
      </c>
      <c r="L11" s="15">
        <v>503.101</v>
      </c>
      <c r="M11" s="43">
        <f t="shared" si="0"/>
        <v>0.13109610062416871</v>
      </c>
    </row>
    <row r="12" spans="1:13" x14ac:dyDescent="0.2">
      <c r="A12" s="3" t="s">
        <v>9</v>
      </c>
      <c r="B12" s="15">
        <v>386.584956885248</v>
      </c>
      <c r="C12" s="15">
        <v>560.58199999999999</v>
      </c>
      <c r="D12" s="43">
        <f>(C12-B12)/C12</f>
        <v>0.31038642538424704</v>
      </c>
      <c r="E12" s="1"/>
      <c r="F12" s="2"/>
      <c r="G12" s="6"/>
      <c r="H12" s="15"/>
      <c r="I12" s="15"/>
      <c r="J12" s="43"/>
      <c r="K12" s="42">
        <v>389.398216590402</v>
      </c>
      <c r="L12" s="15">
        <v>550.02200000000005</v>
      </c>
      <c r="M12" s="43">
        <f t="shared" si="0"/>
        <v>0.4124923447673467</v>
      </c>
    </row>
    <row r="13" spans="1:13" x14ac:dyDescent="0.2">
      <c r="A13" s="3" t="s">
        <v>10</v>
      </c>
      <c r="B13" s="15"/>
      <c r="C13" s="15"/>
      <c r="D13" s="43"/>
      <c r="E13" s="42">
        <v>1197.8321179350901</v>
      </c>
      <c r="F13" s="15">
        <v>1890.4</v>
      </c>
      <c r="G13" s="43">
        <f>(F13-E13)/E13</f>
        <v>0.57818443143669318</v>
      </c>
      <c r="H13" s="15"/>
      <c r="I13" s="15"/>
      <c r="J13" s="43"/>
      <c r="K13" s="42">
        <v>1197.8321179350901</v>
      </c>
      <c r="L13" s="15">
        <v>2116.6999999999998</v>
      </c>
      <c r="M13" s="43">
        <f t="shared" si="0"/>
        <v>0.76710907004975026</v>
      </c>
    </row>
    <row r="14" spans="1:13" x14ac:dyDescent="0.2">
      <c r="A14" s="3" t="s">
        <v>11</v>
      </c>
      <c r="B14" s="15"/>
      <c r="C14" s="15"/>
      <c r="D14" s="43"/>
      <c r="E14" s="42"/>
      <c r="F14" s="15"/>
      <c r="G14" s="43"/>
      <c r="H14" s="15"/>
      <c r="I14" s="15"/>
      <c r="J14" s="43"/>
      <c r="K14" s="42">
        <v>1743.1891891891901</v>
      </c>
      <c r="L14" s="15">
        <v>994.22199999999998</v>
      </c>
      <c r="M14" s="43">
        <f t="shared" si="0"/>
        <v>-0.42965341560978665</v>
      </c>
    </row>
    <row r="15" spans="1:13" x14ac:dyDescent="0.2">
      <c r="A15" s="3" t="s">
        <v>12</v>
      </c>
      <c r="B15" s="15"/>
      <c r="C15" s="15"/>
      <c r="D15" s="43"/>
      <c r="E15" s="42"/>
      <c r="F15" s="15"/>
      <c r="G15" s="43"/>
      <c r="H15" s="15"/>
      <c r="I15" s="15"/>
      <c r="J15" s="43"/>
      <c r="K15" s="42">
        <v>1030.8258928571399</v>
      </c>
      <c r="L15" s="15">
        <v>515.827</v>
      </c>
      <c r="M15" s="43">
        <f t="shared" si="0"/>
        <v>-0.49959832831683887</v>
      </c>
    </row>
    <row r="16" spans="1:13" x14ac:dyDescent="0.2">
      <c r="A16" s="3" t="s">
        <v>13</v>
      </c>
      <c r="B16" s="15"/>
      <c r="C16" s="15"/>
      <c r="D16" s="43"/>
      <c r="E16" s="42">
        <v>702.70223745523197</v>
      </c>
      <c r="F16" s="15">
        <v>454</v>
      </c>
      <c r="G16" s="43">
        <f t="shared" ref="G16" si="1">(F16-E16)/E16</f>
        <v>-0.35392264916628557</v>
      </c>
      <c r="H16" s="15"/>
      <c r="I16" s="15"/>
      <c r="J16" s="43"/>
      <c r="K16" s="42">
        <v>702.70223745523197</v>
      </c>
      <c r="L16" s="15">
        <v>440.21100000000001</v>
      </c>
      <c r="M16" s="43">
        <f t="shared" si="0"/>
        <v>-0.37354546985052806</v>
      </c>
    </row>
    <row r="17" spans="1:13" x14ac:dyDescent="0.2">
      <c r="A17" s="3" t="s">
        <v>14</v>
      </c>
      <c r="B17" s="15"/>
      <c r="C17" s="15"/>
      <c r="D17" s="43"/>
      <c r="E17" s="42">
        <v>1011.26246154486</v>
      </c>
      <c r="F17" s="15">
        <v>783.48299999999995</v>
      </c>
      <c r="G17" s="43">
        <f>(F17-E17)/E17</f>
        <v>-0.22524267458409528</v>
      </c>
      <c r="H17" s="15"/>
      <c r="I17" s="15"/>
      <c r="J17" s="43"/>
      <c r="K17" s="42">
        <v>1011.21990534117</v>
      </c>
      <c r="L17" s="15">
        <v>1100.83</v>
      </c>
      <c r="M17" s="43">
        <f t="shared" si="0"/>
        <v>8.8615833396393465E-2</v>
      </c>
    </row>
    <row r="18" spans="1:13" x14ac:dyDescent="0.2">
      <c r="A18" s="3" t="s">
        <v>15</v>
      </c>
      <c r="B18" s="15"/>
      <c r="C18" s="15"/>
      <c r="D18" s="43"/>
      <c r="E18" s="42"/>
      <c r="F18" s="15"/>
      <c r="G18" s="43"/>
      <c r="H18" s="15">
        <v>2279.7292993630599</v>
      </c>
      <c r="I18" s="15">
        <v>326.67</v>
      </c>
      <c r="J18" s="43">
        <f>(I18-H18)/H18</f>
        <v>-0.85670667123010202</v>
      </c>
      <c r="K18" s="42">
        <v>2279.7292993630599</v>
      </c>
      <c r="L18" s="15">
        <v>1354.61</v>
      </c>
      <c r="M18" s="43">
        <f t="shared" si="0"/>
        <v>-0.40580225890044563</v>
      </c>
    </row>
    <row r="19" spans="1:13" x14ac:dyDescent="0.2">
      <c r="A19" s="3" t="s">
        <v>16</v>
      </c>
      <c r="B19" s="15"/>
      <c r="C19" s="15"/>
      <c r="D19" s="43"/>
      <c r="E19" s="42"/>
      <c r="F19" s="15"/>
      <c r="G19" s="43"/>
      <c r="H19" s="15"/>
      <c r="I19" s="15"/>
      <c r="J19" s="43"/>
      <c r="K19" s="42">
        <v>323.75478965040497</v>
      </c>
      <c r="L19" s="15">
        <v>426.58800000000002</v>
      </c>
      <c r="M19" s="43">
        <f t="shared" si="0"/>
        <v>0.31762683869676744</v>
      </c>
    </row>
    <row r="20" spans="1:13" x14ac:dyDescent="0.2">
      <c r="A20" s="3" t="s">
        <v>17</v>
      </c>
      <c r="B20" s="15">
        <v>548.00658734686101</v>
      </c>
      <c r="C20" s="15">
        <v>339.50099999999998</v>
      </c>
      <c r="D20" s="43">
        <f>(C20-B20)/C20</f>
        <v>-0.61415308746325059</v>
      </c>
      <c r="E20" s="42"/>
      <c r="F20" s="15"/>
      <c r="G20" s="43"/>
      <c r="H20" s="15"/>
      <c r="I20" s="15"/>
      <c r="J20" s="43"/>
      <c r="K20" s="42">
        <v>548.00658734686101</v>
      </c>
      <c r="L20" s="15">
        <v>335.04700000000003</v>
      </c>
      <c r="M20" s="43">
        <f>(L20-K20)/K20</f>
        <v>-0.38860771433039021</v>
      </c>
    </row>
    <row r="21" spans="1:13" ht="17" thickBot="1" x14ac:dyDescent="0.25">
      <c r="A21" s="4" t="s">
        <v>18</v>
      </c>
      <c r="B21" s="15">
        <v>772.39286684356796</v>
      </c>
      <c r="C21" s="15">
        <v>752.84500000000003</v>
      </c>
      <c r="D21" s="43">
        <f>(C21-B21)/C21</f>
        <v>-2.5965327316470097E-2</v>
      </c>
      <c r="E21" s="42"/>
      <c r="F21" s="15"/>
      <c r="G21" s="43"/>
      <c r="H21" s="15"/>
      <c r="I21" s="15"/>
      <c r="J21" s="43"/>
      <c r="K21" s="42">
        <v>772.39286684356796</v>
      </c>
      <c r="L21" s="15">
        <v>824.72799999999995</v>
      </c>
      <c r="M21" s="43">
        <f>(L21-K21)/K21</f>
        <v>6.7757141997313891E-2</v>
      </c>
    </row>
    <row r="22" spans="1:13" ht="17" thickBot="1" x14ac:dyDescent="0.25">
      <c r="A22" s="5" t="s">
        <v>26</v>
      </c>
      <c r="B22" s="41">
        <v>855.26922849829305</v>
      </c>
      <c r="C22" s="16">
        <v>859.63199999999995</v>
      </c>
      <c r="D22" s="44">
        <f>(C22-B22)/C22</f>
        <v>5.0751618154127607E-3</v>
      </c>
      <c r="E22" s="41">
        <v>1042.67799298967</v>
      </c>
      <c r="F22" s="16">
        <v>1043.22</v>
      </c>
      <c r="G22" s="44">
        <f>(F22-E22)/E22</f>
        <v>5.198220485846803E-4</v>
      </c>
      <c r="H22" s="16">
        <v>1066.5762350546099</v>
      </c>
      <c r="I22" s="16">
        <v>1070.43</v>
      </c>
      <c r="J22" s="44">
        <f>(I22-H22)/H22</f>
        <v>3.6132109630145869E-3</v>
      </c>
      <c r="K22" s="41">
        <v>946.25088846703204</v>
      </c>
      <c r="L22" s="16">
        <v>948.27499999999998</v>
      </c>
      <c r="M22" s="44">
        <f>(L22-K22)/K22</f>
        <v>2.1390854768412269E-3</v>
      </c>
    </row>
    <row r="23" spans="1:13" x14ac:dyDescent="0.2">
      <c r="L23" s="17"/>
    </row>
  </sheetData>
  <mergeCells count="4">
    <mergeCell ref="B1:D1"/>
    <mergeCell ref="E1:G1"/>
    <mergeCell ref="H1:J1"/>
    <mergeCell ref="K1:M1"/>
  </mergeCells>
  <conditionalFormatting sqref="D3:D22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G3:G22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3:J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M3:M22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04214-778C-8B4E-A672-719A6F860331}">
  <dimension ref="A1:M6"/>
  <sheetViews>
    <sheetView workbookViewId="0">
      <selection activeCell="E12" sqref="E12"/>
    </sheetView>
  </sheetViews>
  <sheetFormatPr baseColWidth="10" defaultRowHeight="16" x14ac:dyDescent="0.2"/>
  <cols>
    <col min="1" max="1" width="31.5" customWidth="1"/>
    <col min="2" max="2" width="10.83203125" customWidth="1"/>
  </cols>
  <sheetData>
    <row r="1" spans="1:13" x14ac:dyDescent="0.2">
      <c r="A1" s="35" t="s">
        <v>19</v>
      </c>
      <c r="B1" s="36" t="s">
        <v>29</v>
      </c>
      <c r="C1" s="8"/>
      <c r="D1" s="8"/>
      <c r="E1" s="8"/>
      <c r="F1" s="8"/>
      <c r="G1" s="8"/>
      <c r="H1" s="8"/>
      <c r="I1" s="8"/>
      <c r="J1" s="8"/>
      <c r="K1" s="8"/>
      <c r="L1" s="8"/>
      <c r="M1" s="10"/>
    </row>
    <row r="2" spans="1:13" ht="17" thickBot="1" x14ac:dyDescent="0.25">
      <c r="A2" s="37"/>
      <c r="B2" s="38">
        <v>0.82199999999999995</v>
      </c>
      <c r="C2" s="39">
        <v>0.83</v>
      </c>
      <c r="D2" s="39">
        <v>0.83399999999999996</v>
      </c>
      <c r="E2" s="39">
        <v>0.83599999999999997</v>
      </c>
      <c r="F2" s="39">
        <v>0.84</v>
      </c>
      <c r="G2" s="39">
        <v>0.84699999999999998</v>
      </c>
      <c r="H2" s="39">
        <v>0.85</v>
      </c>
      <c r="I2" s="39">
        <v>0.86</v>
      </c>
      <c r="J2" s="39">
        <v>0.87</v>
      </c>
      <c r="K2" s="39">
        <v>0.88</v>
      </c>
      <c r="L2" s="39">
        <v>0.89</v>
      </c>
      <c r="M2" s="40">
        <v>0.9</v>
      </c>
    </row>
    <row r="3" spans="1:13" x14ac:dyDescent="0.2">
      <c r="A3" s="27" t="s">
        <v>20</v>
      </c>
      <c r="B3" s="19">
        <v>-1.53643</v>
      </c>
      <c r="C3" s="20">
        <v>-2.2917399999999999</v>
      </c>
      <c r="D3" s="20"/>
      <c r="E3" s="20"/>
      <c r="F3" s="20">
        <v>-3.0219999999999998</v>
      </c>
      <c r="G3" s="20"/>
      <c r="H3" s="20">
        <v>-3.3005800000000001</v>
      </c>
      <c r="I3" s="20">
        <v>-4.0572699999999999</v>
      </c>
      <c r="J3" s="20">
        <v>-3.7080700000000002</v>
      </c>
      <c r="K3" s="20">
        <v>-4.12784</v>
      </c>
      <c r="L3" s="20">
        <v>-4.1056100000000004</v>
      </c>
      <c r="M3" s="28">
        <v>-3.75088</v>
      </c>
    </row>
    <row r="4" spans="1:13" x14ac:dyDescent="0.2">
      <c r="A4" s="27" t="s">
        <v>21</v>
      </c>
      <c r="B4" s="21"/>
      <c r="C4" s="22"/>
      <c r="D4" s="22"/>
      <c r="E4" s="22"/>
      <c r="F4" s="22"/>
      <c r="G4" s="23">
        <v>-1.15628</v>
      </c>
      <c r="H4" s="20">
        <v>-1.23315</v>
      </c>
      <c r="I4" s="20">
        <v>-1.2929900000000001</v>
      </c>
      <c r="J4" s="20">
        <v>-1.29165</v>
      </c>
      <c r="K4" s="20">
        <v>-1.2917000000000001</v>
      </c>
      <c r="L4" s="20">
        <v>-1.2917000000000001</v>
      </c>
      <c r="M4" s="28">
        <v>-1.2917000000000001</v>
      </c>
    </row>
    <row r="5" spans="1:13" x14ac:dyDescent="0.2">
      <c r="A5" s="27" t="s">
        <v>22</v>
      </c>
      <c r="B5" s="24"/>
      <c r="C5" s="25"/>
      <c r="D5" s="26"/>
      <c r="E5" s="23">
        <v>-2.0508799999999998</v>
      </c>
      <c r="F5" s="20">
        <v>-2.2150500000000002</v>
      </c>
      <c r="G5" s="20"/>
      <c r="H5" s="20">
        <v>-2.2810199999999998</v>
      </c>
      <c r="I5" s="20">
        <v>-2.2805900000000001</v>
      </c>
      <c r="J5" s="20">
        <v>-2.2814899999999998</v>
      </c>
      <c r="K5" s="20">
        <v>-2.2815599999999998</v>
      </c>
      <c r="L5" s="20">
        <v>-2.2799299999999998</v>
      </c>
      <c r="M5" s="29">
        <v>-2.2810100000000002</v>
      </c>
    </row>
    <row r="6" spans="1:13" ht="17" thickBot="1" x14ac:dyDescent="0.25">
      <c r="A6" s="18" t="s">
        <v>23</v>
      </c>
      <c r="B6" s="30"/>
      <c r="C6" s="31"/>
      <c r="D6" s="32">
        <v>-2.5345300000000002</v>
      </c>
      <c r="E6" s="33"/>
      <c r="F6" s="33">
        <v>-3.1576900000000001</v>
      </c>
      <c r="G6" s="33"/>
      <c r="H6" s="33">
        <v>-4.2448399999999999</v>
      </c>
      <c r="I6" s="33">
        <v>-5.2229599999999996</v>
      </c>
      <c r="J6" s="33">
        <v>-5.7119900000000001</v>
      </c>
      <c r="K6" s="33">
        <v>-5.9142700000000001</v>
      </c>
      <c r="L6" s="33">
        <v>-5.9793799999999999</v>
      </c>
      <c r="M6" s="34">
        <v>-5.9931599999999996</v>
      </c>
    </row>
  </sheetData>
  <mergeCells count="2">
    <mergeCell ref="B1:M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Average Stage Length</vt:lpstr>
      <vt:lpstr>Fuel Reduction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Eskenazi</dc:creator>
  <cp:lastModifiedBy>Andy Eskenazi</cp:lastModifiedBy>
  <dcterms:created xsi:type="dcterms:W3CDTF">2025-11-06T14:31:53Z</dcterms:created>
  <dcterms:modified xsi:type="dcterms:W3CDTF">2025-11-06T16:22:19Z</dcterms:modified>
</cp:coreProperties>
</file>