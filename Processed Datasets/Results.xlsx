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andyeske/Desktop/Fall 2025/Optimization Methods/Project/Processed Datasets/"/>
    </mc:Choice>
  </mc:AlternateContent>
  <xr:revisionPtr revIDLastSave="0" documentId="13_ncr:1_{D4A339F3-4FA4-1046-B33C-B7DB32124835}" xr6:coauthVersionLast="47" xr6:coauthVersionMax="47" xr10:uidLastSave="{00000000-0000-0000-0000-000000000000}"/>
  <bookViews>
    <workbookView xWindow="0" yWindow="760" windowWidth="16920" windowHeight="17420" activeTab="2" xr2:uid="{7CBF7E08-C6C4-A045-9677-85FC55C6D140}"/>
  </bookViews>
  <sheets>
    <sheet name="Problem Statistics" sheetId="5" r:id="rId1"/>
    <sheet name="Average Stage Length" sheetId="1" r:id="rId2"/>
    <sheet name="LF Sensitivity" sheetId="2" r:id="rId3"/>
    <sheet name="Utilization Sensitiv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5" l="1"/>
  <c r="D12" i="5"/>
  <c r="C12" i="5"/>
  <c r="B12" i="5"/>
  <c r="E18" i="5"/>
  <c r="D18" i="5"/>
  <c r="C18" i="5"/>
  <c r="B18" i="5"/>
  <c r="G13" i="1"/>
  <c r="D4" i="1"/>
  <c r="D8" i="1"/>
  <c r="D9" i="1"/>
  <c r="D12" i="1"/>
  <c r="D20" i="1"/>
  <c r="D21" i="1"/>
  <c r="D3" i="1"/>
  <c r="M8" i="1"/>
  <c r="M22" i="1" l="1"/>
  <c r="M21" i="1"/>
  <c r="M20" i="1"/>
  <c r="M4" i="1"/>
  <c r="M5" i="1"/>
  <c r="M6" i="1"/>
  <c r="M7" i="1"/>
  <c r="M9" i="1"/>
  <c r="M10" i="1"/>
  <c r="M11" i="1"/>
  <c r="M12" i="1"/>
  <c r="M13" i="1"/>
  <c r="M14" i="1"/>
  <c r="M15" i="1"/>
  <c r="M16" i="1"/>
  <c r="M17" i="1"/>
  <c r="M18" i="1"/>
  <c r="M19" i="1"/>
  <c r="M3" i="1"/>
  <c r="J22" i="1"/>
  <c r="J18" i="1"/>
  <c r="J4" i="1"/>
  <c r="J5" i="1"/>
  <c r="J6" i="1"/>
  <c r="J7" i="1"/>
  <c r="J3" i="1"/>
  <c r="G22" i="1"/>
  <c r="G17" i="1"/>
  <c r="G16" i="1"/>
  <c r="D22" i="1"/>
</calcChain>
</file>

<file path=xl/sharedStrings.xml><?xml version="1.0" encoding="utf-8"?>
<sst xmlns="http://schemas.openxmlformats.org/spreadsheetml/2006/main" count="131" uniqueCount="51">
  <si>
    <t>A320NEO</t>
  </si>
  <si>
    <t>A321NEO</t>
  </si>
  <si>
    <t>A319CEO</t>
  </si>
  <si>
    <t>A320CEO</t>
  </si>
  <si>
    <t>A321CEO</t>
  </si>
  <si>
    <t>A330-200</t>
  </si>
  <si>
    <t>A330-900</t>
  </si>
  <si>
    <t>ATR42-500</t>
  </si>
  <si>
    <t>ATR72-500</t>
  </si>
  <si>
    <t>ATR72-600</t>
  </si>
  <si>
    <t>B737-8</t>
  </si>
  <si>
    <t>B737-300</t>
  </si>
  <si>
    <t>B737-500</t>
  </si>
  <si>
    <t>B737-700</t>
  </si>
  <si>
    <t>B737-800</t>
  </si>
  <si>
    <t>B787-9</t>
  </si>
  <si>
    <t>C208</t>
  </si>
  <si>
    <t>E195</t>
  </si>
  <si>
    <t>E195-E2</t>
  </si>
  <si>
    <t>Airline</t>
  </si>
  <si>
    <t>Azul Linhas Aereas Brasileiras</t>
  </si>
  <si>
    <t>Gol Linhas Aereas</t>
  </si>
  <si>
    <t>LATAM Brasil</t>
  </si>
  <si>
    <t>Combined Brazilian National Airline</t>
  </si>
  <si>
    <t>Current</t>
  </si>
  <si>
    <t>Optimized</t>
  </si>
  <si>
    <t>System-wide</t>
  </si>
  <si>
    <t>% Change</t>
  </si>
  <si>
    <t>Average Stage Length (km)</t>
  </si>
  <si>
    <t>Time (s)</t>
  </si>
  <si>
    <t>Routes</t>
  </si>
  <si>
    <t>Airports</t>
  </si>
  <si>
    <t>Fleet Size</t>
  </si>
  <si>
    <t>Aircraft Types</t>
  </si>
  <si>
    <t>Number of Variables</t>
  </si>
  <si>
    <t>Number of Constraints</t>
  </si>
  <si>
    <t>Optimization Runtime (s)</t>
  </si>
  <si>
    <t>Optimality Gap (%)</t>
  </si>
  <si>
    <t>System-wide Fuel Consumption Reduction (%)</t>
  </si>
  <si>
    <t>Passengers (million)</t>
  </si>
  <si>
    <t>LATAM Aircraft Utilization Sensitiviity</t>
  </si>
  <si>
    <t>Aircraft Utilization Constraints - Slack (%)</t>
  </si>
  <si>
    <t>Load Factor Constraint - Slack (%)</t>
  </si>
  <si>
    <t>2024 System-wide Fuel Consumption (million L)</t>
  </si>
  <si>
    <t>2024 System-wide Fuel Intensity (L/RPK)</t>
  </si>
  <si>
    <t>Revenue Passenger-kms (billion RPKs)</t>
  </si>
  <si>
    <t>Available Seat-kms (billion ASKs)</t>
  </si>
  <si>
    <t>Optimized System-wide Fuel Consumption (million L)</t>
  </si>
  <si>
    <t>Optimized System-wide Fuel Intensity (L/RPK)</t>
  </si>
  <si>
    <t>Baseline Load Factor (%)</t>
  </si>
  <si>
    <t>Fuel Consumption Reduction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</si>
</sst>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0" xfId="0" applyNumberFormat="1"/>
    <xf numFmtId="0" fontId="0" fillId="0" borderId="3" xfId="0" applyBorder="1"/>
    <xf numFmtId="0" fontId="0" fillId="0" borderId="2" xfId="0" applyBorder="1"/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10" fontId="0" fillId="0" borderId="7" xfId="0" applyNumberFormat="1" applyBorder="1" applyAlignment="1">
      <alignment horizontal="center"/>
    </xf>
    <xf numFmtId="10" fontId="0" fillId="0" borderId="29" xfId="0" applyNumberFormat="1" applyBorder="1" applyAlignment="1">
      <alignment horizontal="center"/>
    </xf>
    <xf numFmtId="10" fontId="0" fillId="0" borderId="29" xfId="1" applyNumberFormat="1" applyFon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9" fontId="0" fillId="2" borderId="23" xfId="0" applyNumberFormat="1" applyFill="1" applyBorder="1" applyAlignment="1">
      <alignment horizontal="center"/>
    </xf>
    <xf numFmtId="9" fontId="0" fillId="2" borderId="17" xfId="0" applyNumberFormat="1" applyFill="1" applyBorder="1" applyAlignment="1">
      <alignment horizontal="center"/>
    </xf>
    <xf numFmtId="9" fontId="0" fillId="2" borderId="24" xfId="0" applyNumberFormat="1" applyFill="1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2" borderId="19" xfId="0" applyFont="1" applyFill="1" applyBorder="1"/>
    <xf numFmtId="2" fontId="0" fillId="0" borderId="20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65" fontId="0" fillId="0" borderId="28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2" xfId="0" applyBorder="1"/>
    <xf numFmtId="0" fontId="0" fillId="0" borderId="30" xfId="0" applyBorder="1"/>
    <xf numFmtId="0" fontId="0" fillId="0" borderId="0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2" fontId="0" fillId="0" borderId="29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7" xfId="0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F936-89DF-F643-A9AE-EB85812C3DF7}">
  <sheetPr codeName="Hoja1"/>
  <dimension ref="A1:E40"/>
  <sheetViews>
    <sheetView zoomScale="118" workbookViewId="0">
      <selection activeCell="B16" sqref="B16"/>
    </sheetView>
  </sheetViews>
  <sheetFormatPr baseColWidth="10" defaultRowHeight="16" x14ac:dyDescent="0.2"/>
  <cols>
    <col min="1" max="1" width="46.33203125" customWidth="1"/>
    <col min="2" max="2" width="25.6640625" customWidth="1"/>
    <col min="3" max="3" width="21.83203125" customWidth="1"/>
    <col min="4" max="4" width="18.6640625" customWidth="1"/>
    <col min="5" max="5" width="30.5" customWidth="1"/>
  </cols>
  <sheetData>
    <row r="1" spans="1:5" ht="17" thickBot="1" x14ac:dyDescent="0.25">
      <c r="A1" s="37" t="s">
        <v>19</v>
      </c>
      <c r="B1" s="34" t="s">
        <v>20</v>
      </c>
      <c r="C1" s="35" t="s">
        <v>21</v>
      </c>
      <c r="D1" s="35" t="s">
        <v>22</v>
      </c>
      <c r="E1" s="36" t="s">
        <v>23</v>
      </c>
    </row>
    <row r="2" spans="1:5" x14ac:dyDescent="0.2">
      <c r="A2" s="27" t="s">
        <v>30</v>
      </c>
      <c r="B2" s="2">
        <v>904</v>
      </c>
      <c r="C2" s="28">
        <v>546</v>
      </c>
      <c r="D2" s="28">
        <v>430</v>
      </c>
      <c r="E2" s="29">
        <v>1413</v>
      </c>
    </row>
    <row r="3" spans="1:5" x14ac:dyDescent="0.2">
      <c r="A3" s="27" t="s">
        <v>31</v>
      </c>
      <c r="B3" s="2">
        <v>109</v>
      </c>
      <c r="C3" s="28">
        <v>66</v>
      </c>
      <c r="D3" s="28">
        <v>57</v>
      </c>
      <c r="E3" s="29">
        <v>166</v>
      </c>
    </row>
    <row r="4" spans="1:5" x14ac:dyDescent="0.2">
      <c r="A4" s="27" t="s">
        <v>32</v>
      </c>
      <c r="B4" s="2">
        <v>131</v>
      </c>
      <c r="C4" s="28">
        <v>114</v>
      </c>
      <c r="D4" s="28">
        <v>162</v>
      </c>
      <c r="E4" s="29">
        <v>447</v>
      </c>
    </row>
    <row r="5" spans="1:5" ht="17" thickBot="1" x14ac:dyDescent="0.25">
      <c r="A5" s="30" t="s">
        <v>33</v>
      </c>
      <c r="B5" s="31">
        <v>5</v>
      </c>
      <c r="C5" s="32">
        <v>3</v>
      </c>
      <c r="D5" s="32">
        <v>6</v>
      </c>
      <c r="E5" s="33">
        <v>19</v>
      </c>
    </row>
    <row r="6" spans="1:5" x14ac:dyDescent="0.2">
      <c r="A6" s="27" t="s">
        <v>39</v>
      </c>
      <c r="B6" s="2">
        <v>29.71</v>
      </c>
      <c r="C6" s="28">
        <v>28.87</v>
      </c>
      <c r="D6" s="28">
        <v>35.299999999999997</v>
      </c>
      <c r="E6" s="29">
        <v>94.81</v>
      </c>
    </row>
    <row r="7" spans="1:5" x14ac:dyDescent="0.2">
      <c r="A7" s="27" t="s">
        <v>45</v>
      </c>
      <c r="B7" s="2">
        <v>30.35</v>
      </c>
      <c r="C7" s="28">
        <v>31.54</v>
      </c>
      <c r="D7" s="28">
        <v>39.58</v>
      </c>
      <c r="E7" s="29">
        <v>101.93</v>
      </c>
    </row>
    <row r="8" spans="1:5" x14ac:dyDescent="0.2">
      <c r="A8" s="27" t="s">
        <v>46</v>
      </c>
      <c r="B8" s="2">
        <v>36.93</v>
      </c>
      <c r="C8" s="28">
        <v>37.26</v>
      </c>
      <c r="D8" s="28">
        <v>47.33</v>
      </c>
      <c r="E8" s="29">
        <v>122.19</v>
      </c>
    </row>
    <row r="9" spans="1:5" ht="17" thickBot="1" x14ac:dyDescent="0.25">
      <c r="A9" s="30" t="s">
        <v>49</v>
      </c>
      <c r="B9" s="39">
        <v>0.82199999999999995</v>
      </c>
      <c r="C9" s="40">
        <v>0.84699999999999998</v>
      </c>
      <c r="D9" s="40">
        <v>0.83599999999999997</v>
      </c>
      <c r="E9" s="42">
        <v>0.83399999999999996</v>
      </c>
    </row>
    <row r="10" spans="1:5" x14ac:dyDescent="0.2">
      <c r="A10" s="27" t="s">
        <v>34</v>
      </c>
      <c r="B10" s="2">
        <v>6328</v>
      </c>
      <c r="C10" s="28">
        <v>1638</v>
      </c>
      <c r="D10" s="28">
        <v>2580</v>
      </c>
      <c r="E10" s="29">
        <v>26847</v>
      </c>
    </row>
    <row r="11" spans="1:5" x14ac:dyDescent="0.2">
      <c r="A11" s="27" t="s">
        <v>35</v>
      </c>
      <c r="B11" s="2">
        <v>2466</v>
      </c>
      <c r="C11" s="28">
        <v>1346</v>
      </c>
      <c r="D11" s="28">
        <v>1470</v>
      </c>
      <c r="E11" s="29">
        <v>3929</v>
      </c>
    </row>
    <row r="12" spans="1:5" x14ac:dyDescent="0.2">
      <c r="A12" s="27" t="s">
        <v>36</v>
      </c>
      <c r="B12" s="53">
        <f>'LF Sensitivity'!B10</f>
        <v>74.66</v>
      </c>
      <c r="C12" s="74">
        <f>'LF Sensitivity'!G11</f>
        <v>3.77</v>
      </c>
      <c r="D12" s="74">
        <f>'LF Sensitivity'!E12</f>
        <v>39.630000000000003</v>
      </c>
      <c r="E12" s="16">
        <f>'LF Sensitivity'!D13</f>
        <v>257.83999999999997</v>
      </c>
    </row>
    <row r="13" spans="1:5" ht="17" thickBot="1" x14ac:dyDescent="0.25">
      <c r="A13" s="30" t="s">
        <v>37</v>
      </c>
      <c r="B13" s="39">
        <v>0</v>
      </c>
      <c r="C13" s="40">
        <v>0</v>
      </c>
      <c r="D13" s="41">
        <v>0</v>
      </c>
      <c r="E13" s="42">
        <v>0</v>
      </c>
    </row>
    <row r="14" spans="1:5" x14ac:dyDescent="0.2">
      <c r="A14" s="27" t="s">
        <v>43</v>
      </c>
      <c r="B14" s="2">
        <v>994</v>
      </c>
      <c r="C14" s="28">
        <v>943</v>
      </c>
      <c r="D14" s="28">
        <v>1358</v>
      </c>
      <c r="E14" s="29">
        <v>3323</v>
      </c>
    </row>
    <row r="15" spans="1:5" x14ac:dyDescent="0.2">
      <c r="A15" s="27" t="s">
        <v>47</v>
      </c>
      <c r="B15" s="2">
        <v>971</v>
      </c>
      <c r="C15" s="28">
        <v>931</v>
      </c>
      <c r="D15" s="28">
        <v>1340</v>
      </c>
      <c r="E15" s="29">
        <v>3227</v>
      </c>
    </row>
    <row r="16" spans="1:5" x14ac:dyDescent="0.2">
      <c r="A16" s="27" t="s">
        <v>44</v>
      </c>
      <c r="B16" s="2">
        <v>3.3000000000000002E-2</v>
      </c>
      <c r="C16" s="60">
        <v>0.03</v>
      </c>
      <c r="D16" s="28">
        <v>3.4000000000000002E-2</v>
      </c>
      <c r="E16" s="29">
        <v>3.3000000000000002E-2</v>
      </c>
    </row>
    <row r="17" spans="1:5" x14ac:dyDescent="0.2">
      <c r="A17" s="27" t="s">
        <v>48</v>
      </c>
      <c r="B17" s="2">
        <v>3.2000000000000001E-2</v>
      </c>
      <c r="C17" s="60">
        <v>0.03</v>
      </c>
      <c r="D17" s="28">
        <v>3.4000000000000002E-2</v>
      </c>
      <c r="E17" s="29">
        <v>3.2000000000000001E-2</v>
      </c>
    </row>
    <row r="18" spans="1:5" ht="17" thickBot="1" x14ac:dyDescent="0.25">
      <c r="A18" s="30" t="s">
        <v>38</v>
      </c>
      <c r="B18" s="17">
        <f>'LF Sensitivity'!B3</f>
        <v>-2.2907500000000001</v>
      </c>
      <c r="C18" s="73">
        <f>'LF Sensitivity'!G4</f>
        <v>-1.25518</v>
      </c>
      <c r="D18" s="73">
        <f>'LF Sensitivity'!E5</f>
        <v>-1.2844100000000001</v>
      </c>
      <c r="E18" s="18">
        <f>'LF Sensitivity'!D6</f>
        <v>-2.8877600000000001</v>
      </c>
    </row>
    <row r="22" spans="1:5" x14ac:dyDescent="0.2">
      <c r="A22" s="38"/>
      <c r="B22" s="38"/>
      <c r="C22" s="38"/>
    </row>
    <row r="23" spans="1:5" x14ac:dyDescent="0.2">
      <c r="A23" s="38"/>
      <c r="B23" s="38"/>
      <c r="C23" s="38"/>
    </row>
    <row r="24" spans="1:5" x14ac:dyDescent="0.2">
      <c r="A24" s="38"/>
      <c r="B24" s="38"/>
      <c r="C24" s="38"/>
    </row>
    <row r="25" spans="1:5" x14ac:dyDescent="0.2">
      <c r="A25" s="38"/>
      <c r="B25" s="38"/>
      <c r="C25" s="38"/>
    </row>
    <row r="26" spans="1:5" x14ac:dyDescent="0.2">
      <c r="A26" s="38"/>
      <c r="B26" s="38"/>
      <c r="C26" s="38"/>
    </row>
    <row r="27" spans="1:5" x14ac:dyDescent="0.2">
      <c r="A27" s="38"/>
      <c r="B27" s="38"/>
      <c r="C27" s="38"/>
    </row>
    <row r="28" spans="1:5" x14ac:dyDescent="0.2">
      <c r="A28" s="38"/>
      <c r="B28" s="38"/>
      <c r="C28" s="38"/>
    </row>
    <row r="29" spans="1:5" x14ac:dyDescent="0.2">
      <c r="A29" s="38"/>
      <c r="B29" s="38"/>
      <c r="C29" s="38"/>
    </row>
    <row r="30" spans="1:5" x14ac:dyDescent="0.2">
      <c r="A30" s="38"/>
      <c r="B30" s="38"/>
      <c r="C30" s="38"/>
    </row>
    <row r="31" spans="1:5" x14ac:dyDescent="0.2">
      <c r="A31" s="38"/>
      <c r="B31" s="38"/>
      <c r="C31" s="38"/>
    </row>
    <row r="32" spans="1:5" x14ac:dyDescent="0.2">
      <c r="A32" s="38"/>
      <c r="B32" s="38"/>
      <c r="C32" s="38"/>
    </row>
    <row r="33" spans="1:3" x14ac:dyDescent="0.2">
      <c r="A33" s="38"/>
      <c r="B33" s="38"/>
      <c r="C33" s="38"/>
    </row>
    <row r="34" spans="1:3" x14ac:dyDescent="0.2">
      <c r="A34" s="38"/>
      <c r="B34" s="38"/>
      <c r="C34" s="38"/>
    </row>
    <row r="35" spans="1:3" x14ac:dyDescent="0.2">
      <c r="A35" s="38"/>
      <c r="B35" s="38"/>
      <c r="C35" s="38"/>
    </row>
    <row r="36" spans="1:3" x14ac:dyDescent="0.2">
      <c r="A36" s="38"/>
      <c r="B36" s="38"/>
      <c r="C36" s="38"/>
    </row>
    <row r="37" spans="1:3" x14ac:dyDescent="0.2">
      <c r="A37" s="38"/>
      <c r="B37" s="38"/>
      <c r="C37" s="38"/>
    </row>
    <row r="38" spans="1:3" x14ac:dyDescent="0.2">
      <c r="A38" s="38"/>
      <c r="B38" s="38"/>
      <c r="C38" s="38"/>
    </row>
    <row r="39" spans="1:3" x14ac:dyDescent="0.2">
      <c r="A39" s="38"/>
      <c r="B39" s="38"/>
      <c r="C39" s="38"/>
    </row>
    <row r="40" spans="1:3" x14ac:dyDescent="0.2">
      <c r="A40" s="38"/>
      <c r="B40" s="38"/>
      <c r="C40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B91D-2144-7B43-A9A4-560B5D2999B4}">
  <sheetPr codeName="Hoja2"/>
  <dimension ref="A1:M23"/>
  <sheetViews>
    <sheetView zoomScale="150" workbookViewId="0">
      <selection activeCell="C10" sqref="C10"/>
    </sheetView>
  </sheetViews>
  <sheetFormatPr baseColWidth="10" defaultRowHeight="16" x14ac:dyDescent="0.2"/>
  <cols>
    <col min="1" max="1" width="24.5" customWidth="1"/>
    <col min="2" max="2" width="9.83203125" customWidth="1"/>
    <col min="3" max="3" width="10.5" customWidth="1"/>
    <col min="4" max="4" width="10.6640625" customWidth="1"/>
    <col min="5" max="5" width="9.1640625" customWidth="1"/>
    <col min="6" max="6" width="11.1640625" customWidth="1"/>
    <col min="7" max="7" width="11" customWidth="1"/>
    <col min="8" max="8" width="10.33203125" customWidth="1"/>
    <col min="9" max="9" width="11.6640625" customWidth="1"/>
    <col min="10" max="10" width="12.33203125" customWidth="1"/>
    <col min="11" max="12" width="10.83203125" customWidth="1"/>
    <col min="13" max="13" width="12.5" customWidth="1"/>
  </cols>
  <sheetData>
    <row r="1" spans="1:13" x14ac:dyDescent="0.2">
      <c r="A1" s="6" t="s">
        <v>19</v>
      </c>
      <c r="B1" s="61" t="s">
        <v>20</v>
      </c>
      <c r="C1" s="61"/>
      <c r="D1" s="61"/>
      <c r="E1" s="62" t="s">
        <v>21</v>
      </c>
      <c r="F1" s="61"/>
      <c r="G1" s="63"/>
      <c r="H1" s="61" t="s">
        <v>22</v>
      </c>
      <c r="I1" s="61"/>
      <c r="J1" s="61"/>
      <c r="K1" s="62" t="s">
        <v>23</v>
      </c>
      <c r="L1" s="61"/>
      <c r="M1" s="63"/>
    </row>
    <row r="2" spans="1:13" ht="17" thickBot="1" x14ac:dyDescent="0.25">
      <c r="A2" s="7" t="s">
        <v>28</v>
      </c>
      <c r="B2" s="8" t="s">
        <v>24</v>
      </c>
      <c r="C2" s="8" t="s">
        <v>25</v>
      </c>
      <c r="D2" s="9" t="s">
        <v>27</v>
      </c>
      <c r="E2" s="10" t="s">
        <v>24</v>
      </c>
      <c r="F2" s="8" t="s">
        <v>25</v>
      </c>
      <c r="G2" s="9" t="s">
        <v>27</v>
      </c>
      <c r="H2" s="8" t="s">
        <v>24</v>
      </c>
      <c r="I2" s="8" t="s">
        <v>25</v>
      </c>
      <c r="J2" s="9" t="s">
        <v>27</v>
      </c>
      <c r="K2" s="10" t="s">
        <v>24</v>
      </c>
      <c r="L2" s="8" t="s">
        <v>25</v>
      </c>
      <c r="M2" s="9" t="s">
        <v>27</v>
      </c>
    </row>
    <row r="3" spans="1:13" x14ac:dyDescent="0.2">
      <c r="A3" s="3" t="s">
        <v>0</v>
      </c>
      <c r="B3" s="11">
        <v>1358</v>
      </c>
      <c r="C3" s="2">
        <v>1481</v>
      </c>
      <c r="D3" s="25">
        <f>(C3-B3)/B3</f>
        <v>9.0574374079528716E-2</v>
      </c>
      <c r="E3" s="1"/>
      <c r="F3" s="2"/>
      <c r="G3" s="5"/>
      <c r="H3" s="11">
        <v>1079</v>
      </c>
      <c r="I3" s="11">
        <v>2185</v>
      </c>
      <c r="J3" s="25">
        <f>(I3-H3)/H3</f>
        <v>1.0250231696014829</v>
      </c>
      <c r="K3" s="24">
        <v>1293</v>
      </c>
      <c r="L3" s="11">
        <v>1821</v>
      </c>
      <c r="M3" s="25">
        <f>(L3-K3)/K3</f>
        <v>0.40835266821345706</v>
      </c>
    </row>
    <row r="4" spans="1:13" x14ac:dyDescent="0.2">
      <c r="A4" s="3" t="s">
        <v>1</v>
      </c>
      <c r="B4" s="11">
        <v>2025</v>
      </c>
      <c r="C4" s="11">
        <v>2496</v>
      </c>
      <c r="D4" s="25">
        <f t="shared" ref="D4:D21" si="0">(C4-B4)/B4</f>
        <v>0.2325925925925926</v>
      </c>
      <c r="E4" s="1"/>
      <c r="F4" s="2"/>
      <c r="G4" s="5"/>
      <c r="H4" s="11">
        <v>1400</v>
      </c>
      <c r="I4" s="11">
        <v>2372</v>
      </c>
      <c r="J4" s="25">
        <f>(I4-H4)/H4</f>
        <v>0.69428571428571428</v>
      </c>
      <c r="K4" s="24">
        <v>1604</v>
      </c>
      <c r="L4" s="11">
        <v>2392</v>
      </c>
      <c r="M4" s="25">
        <f t="shared" ref="M4:M19" si="1">(L4-K4)/K4</f>
        <v>0.49127182044887779</v>
      </c>
    </row>
    <row r="5" spans="1:13" x14ac:dyDescent="0.2">
      <c r="A5" s="3" t="s">
        <v>2</v>
      </c>
      <c r="B5" s="11"/>
      <c r="C5" s="11"/>
      <c r="D5" s="25"/>
      <c r="E5" s="1"/>
      <c r="F5" s="2"/>
      <c r="G5" s="5"/>
      <c r="H5" s="11">
        <v>753</v>
      </c>
      <c r="I5" s="11">
        <v>399</v>
      </c>
      <c r="J5" s="25">
        <f>(I5-H5)/H5</f>
        <v>-0.47011952191235062</v>
      </c>
      <c r="K5" s="24">
        <v>753</v>
      </c>
      <c r="L5" s="11">
        <v>375</v>
      </c>
      <c r="M5" s="25">
        <f t="shared" si="1"/>
        <v>-0.50199203187250996</v>
      </c>
    </row>
    <row r="6" spans="1:13" x14ac:dyDescent="0.2">
      <c r="A6" s="3" t="s">
        <v>3</v>
      </c>
      <c r="B6" s="11"/>
      <c r="C6" s="11"/>
      <c r="D6" s="25"/>
      <c r="E6" s="1"/>
      <c r="F6" s="2"/>
      <c r="G6" s="5"/>
      <c r="H6" s="11">
        <v>1012</v>
      </c>
      <c r="I6" s="11">
        <v>1261</v>
      </c>
      <c r="J6" s="25">
        <f>(I6-H6)/H6</f>
        <v>0.24604743083003952</v>
      </c>
      <c r="K6" s="24">
        <v>1012</v>
      </c>
      <c r="L6" s="11">
        <v>606</v>
      </c>
      <c r="M6" s="25">
        <f t="shared" si="1"/>
        <v>-0.40118577075098816</v>
      </c>
    </row>
    <row r="7" spans="1:13" x14ac:dyDescent="0.2">
      <c r="A7" s="3" t="s">
        <v>4</v>
      </c>
      <c r="B7" s="11"/>
      <c r="C7" s="11"/>
      <c r="D7" s="25"/>
      <c r="E7" s="1"/>
      <c r="F7" s="2"/>
      <c r="G7" s="5"/>
      <c r="H7" s="11">
        <v>1369</v>
      </c>
      <c r="I7" s="11">
        <v>842</v>
      </c>
      <c r="J7" s="25">
        <f>(I7-H7)/H7</f>
        <v>-0.38495252008765524</v>
      </c>
      <c r="K7" s="24">
        <v>1369</v>
      </c>
      <c r="L7" s="11">
        <v>1135</v>
      </c>
      <c r="M7" s="25">
        <f t="shared" si="1"/>
        <v>-0.17092768444119796</v>
      </c>
    </row>
    <row r="8" spans="1:13" x14ac:dyDescent="0.2">
      <c r="A8" s="3" t="s">
        <v>5</v>
      </c>
      <c r="B8" s="11">
        <v>2005</v>
      </c>
      <c r="C8" s="11">
        <v>496</v>
      </c>
      <c r="D8" s="25">
        <f t="shared" si="0"/>
        <v>-0.75261845386533666</v>
      </c>
      <c r="E8" s="1"/>
      <c r="F8" s="2"/>
      <c r="G8" s="5"/>
      <c r="H8" s="11"/>
      <c r="I8" s="11"/>
      <c r="J8" s="25"/>
      <c r="K8" s="24">
        <v>2005</v>
      </c>
      <c r="L8" s="11">
        <v>331</v>
      </c>
      <c r="M8" s="25">
        <f>(L8-K8)/K8</f>
        <v>-0.83491271820448876</v>
      </c>
    </row>
    <row r="9" spans="1:13" x14ac:dyDescent="0.2">
      <c r="A9" s="3" t="s">
        <v>6</v>
      </c>
      <c r="B9" s="11">
        <v>1970</v>
      </c>
      <c r="C9" s="11">
        <v>497</v>
      </c>
      <c r="D9" s="25">
        <f t="shared" si="0"/>
        <v>-0.74771573604060915</v>
      </c>
      <c r="E9" s="1"/>
      <c r="F9" s="2"/>
      <c r="G9" s="5"/>
      <c r="H9" s="11"/>
      <c r="I9" s="11"/>
      <c r="J9" s="25"/>
      <c r="K9" s="24">
        <v>1970</v>
      </c>
      <c r="L9" s="11">
        <v>858</v>
      </c>
      <c r="M9" s="25">
        <f t="shared" si="1"/>
        <v>-0.56446700507614211</v>
      </c>
    </row>
    <row r="10" spans="1:13" x14ac:dyDescent="0.2">
      <c r="A10" s="3" t="s">
        <v>7</v>
      </c>
      <c r="B10" s="11"/>
      <c r="C10" s="11"/>
      <c r="D10" s="25"/>
      <c r="E10" s="1"/>
      <c r="F10" s="2"/>
      <c r="G10" s="5"/>
      <c r="H10" s="11"/>
      <c r="I10" s="11"/>
      <c r="J10" s="25"/>
      <c r="K10" s="24">
        <v>548</v>
      </c>
      <c r="L10" s="11">
        <v>389</v>
      </c>
      <c r="M10" s="25">
        <f t="shared" si="1"/>
        <v>-0.29014598540145986</v>
      </c>
    </row>
    <row r="11" spans="1:13" x14ac:dyDescent="0.2">
      <c r="A11" s="3" t="s">
        <v>8</v>
      </c>
      <c r="B11" s="11"/>
      <c r="C11" s="11"/>
      <c r="D11" s="25"/>
      <c r="E11" s="1"/>
      <c r="F11" s="2"/>
      <c r="G11" s="5"/>
      <c r="H11" s="11"/>
      <c r="I11" s="11"/>
      <c r="J11" s="25"/>
      <c r="K11" s="24">
        <v>447</v>
      </c>
      <c r="L11" s="11">
        <v>406</v>
      </c>
      <c r="M11" s="25">
        <f t="shared" si="1"/>
        <v>-9.1722595078299773E-2</v>
      </c>
    </row>
    <row r="12" spans="1:13" x14ac:dyDescent="0.2">
      <c r="A12" s="3" t="s">
        <v>9</v>
      </c>
      <c r="B12" s="11">
        <v>388</v>
      </c>
      <c r="C12" s="11">
        <v>554</v>
      </c>
      <c r="D12" s="25">
        <f t="shared" si="0"/>
        <v>0.42783505154639173</v>
      </c>
      <c r="E12" s="1"/>
      <c r="F12" s="2"/>
      <c r="G12" s="5"/>
      <c r="H12" s="11"/>
      <c r="I12" s="11"/>
      <c r="J12" s="25"/>
      <c r="K12" s="24">
        <v>391</v>
      </c>
      <c r="L12" s="11">
        <v>539</v>
      </c>
      <c r="M12" s="25">
        <f t="shared" si="1"/>
        <v>0.37851662404092073</v>
      </c>
    </row>
    <row r="13" spans="1:13" x14ac:dyDescent="0.2">
      <c r="A13" s="3" t="s">
        <v>10</v>
      </c>
      <c r="B13" s="11"/>
      <c r="C13" s="11"/>
      <c r="D13" s="25"/>
      <c r="E13" s="24">
        <v>1199</v>
      </c>
      <c r="F13" s="11">
        <v>1885</v>
      </c>
      <c r="G13" s="25">
        <f>(F13-E13)/E13</f>
        <v>0.57214345287739787</v>
      </c>
      <c r="H13" s="11"/>
      <c r="I13" s="11"/>
      <c r="J13" s="25"/>
      <c r="K13" s="24">
        <v>1199</v>
      </c>
      <c r="L13" s="11">
        <v>2189</v>
      </c>
      <c r="M13" s="25">
        <f t="shared" si="1"/>
        <v>0.82568807339449546</v>
      </c>
    </row>
    <row r="14" spans="1:13" x14ac:dyDescent="0.2">
      <c r="A14" s="3" t="s">
        <v>11</v>
      </c>
      <c r="B14" s="11"/>
      <c r="C14" s="11"/>
      <c r="D14" s="25"/>
      <c r="E14" s="24"/>
      <c r="F14" s="11"/>
      <c r="G14" s="25"/>
      <c r="H14" s="11"/>
      <c r="I14" s="11"/>
      <c r="J14" s="25"/>
      <c r="K14" s="24">
        <v>1587</v>
      </c>
      <c r="L14" s="11">
        <v>478</v>
      </c>
      <c r="M14" s="25">
        <f t="shared" si="1"/>
        <v>-0.69880277252678014</v>
      </c>
    </row>
    <row r="15" spans="1:13" x14ac:dyDescent="0.2">
      <c r="A15" s="3" t="s">
        <v>12</v>
      </c>
      <c r="B15" s="11"/>
      <c r="C15" s="11"/>
      <c r="D15" s="25"/>
      <c r="E15" s="24"/>
      <c r="F15" s="11"/>
      <c r="G15" s="25"/>
      <c r="H15" s="11"/>
      <c r="I15" s="11"/>
      <c r="J15" s="25"/>
      <c r="K15" s="24">
        <v>1051</v>
      </c>
      <c r="L15" s="11">
        <v>0</v>
      </c>
      <c r="M15" s="25">
        <f t="shared" si="1"/>
        <v>-1</v>
      </c>
    </row>
    <row r="16" spans="1:13" x14ac:dyDescent="0.2">
      <c r="A16" s="3" t="s">
        <v>13</v>
      </c>
      <c r="B16" s="11"/>
      <c r="C16" s="11"/>
      <c r="D16" s="25"/>
      <c r="E16" s="24">
        <v>704</v>
      </c>
      <c r="F16" s="11">
        <v>518</v>
      </c>
      <c r="G16" s="25">
        <f t="shared" ref="G16" si="2">(F16-E16)/E16</f>
        <v>-0.26420454545454547</v>
      </c>
      <c r="H16" s="11"/>
      <c r="I16" s="11"/>
      <c r="J16" s="25"/>
      <c r="K16" s="24">
        <v>704</v>
      </c>
      <c r="L16" s="11">
        <v>397</v>
      </c>
      <c r="M16" s="25">
        <f t="shared" si="1"/>
        <v>-0.43607954545454547</v>
      </c>
    </row>
    <row r="17" spans="1:13" x14ac:dyDescent="0.2">
      <c r="A17" s="3" t="s">
        <v>14</v>
      </c>
      <c r="B17" s="11"/>
      <c r="C17" s="11"/>
      <c r="D17" s="25"/>
      <c r="E17" s="24">
        <v>1013</v>
      </c>
      <c r="F17" s="11">
        <v>746</v>
      </c>
      <c r="G17" s="25">
        <f>(F17-E17)/E17</f>
        <v>-0.26357354392892401</v>
      </c>
      <c r="H17" s="11"/>
      <c r="I17" s="11"/>
      <c r="J17" s="25"/>
      <c r="K17" s="24">
        <v>1013</v>
      </c>
      <c r="L17" s="11">
        <v>1126</v>
      </c>
      <c r="M17" s="25">
        <f t="shared" si="1"/>
        <v>0.11154985192497532</v>
      </c>
    </row>
    <row r="18" spans="1:13" x14ac:dyDescent="0.2">
      <c r="A18" s="3" t="s">
        <v>15</v>
      </c>
      <c r="B18" s="11"/>
      <c r="C18" s="11"/>
      <c r="D18" s="25"/>
      <c r="E18" s="24"/>
      <c r="F18" s="11"/>
      <c r="G18" s="25"/>
      <c r="H18" s="11">
        <v>2347</v>
      </c>
      <c r="I18" s="11">
        <v>311</v>
      </c>
      <c r="J18" s="25">
        <f>(I18-H18)/H18</f>
        <v>-0.86749041329356624</v>
      </c>
      <c r="K18" s="24">
        <v>2347</v>
      </c>
      <c r="L18" s="11">
        <v>681</v>
      </c>
      <c r="M18" s="25">
        <f t="shared" si="1"/>
        <v>-0.70984235193864509</v>
      </c>
    </row>
    <row r="19" spans="1:13" x14ac:dyDescent="0.2">
      <c r="A19" s="3" t="s">
        <v>16</v>
      </c>
      <c r="B19" s="11"/>
      <c r="C19" s="11"/>
      <c r="D19" s="25"/>
      <c r="E19" s="24"/>
      <c r="F19" s="11"/>
      <c r="G19" s="25"/>
      <c r="H19" s="11"/>
      <c r="I19" s="11"/>
      <c r="J19" s="25"/>
      <c r="K19" s="24">
        <v>328</v>
      </c>
      <c r="L19" s="11">
        <v>466</v>
      </c>
      <c r="M19" s="25">
        <f t="shared" si="1"/>
        <v>0.42073170731707316</v>
      </c>
    </row>
    <row r="20" spans="1:13" x14ac:dyDescent="0.2">
      <c r="A20" s="3" t="s">
        <v>17</v>
      </c>
      <c r="B20" s="11">
        <v>550</v>
      </c>
      <c r="C20" s="11">
        <v>339</v>
      </c>
      <c r="D20" s="25">
        <f t="shared" si="0"/>
        <v>-0.38363636363636361</v>
      </c>
      <c r="E20" s="24"/>
      <c r="F20" s="11"/>
      <c r="G20" s="25"/>
      <c r="H20" s="11"/>
      <c r="I20" s="11"/>
      <c r="J20" s="25"/>
      <c r="K20" s="24">
        <v>550</v>
      </c>
      <c r="L20" s="11">
        <v>292</v>
      </c>
      <c r="M20" s="25">
        <f>(L20-K20)/K20</f>
        <v>-0.46909090909090911</v>
      </c>
    </row>
    <row r="21" spans="1:13" ht="17" thickBot="1" x14ac:dyDescent="0.25">
      <c r="A21" s="4" t="s">
        <v>18</v>
      </c>
      <c r="B21" s="11">
        <v>775</v>
      </c>
      <c r="C21" s="11">
        <v>762</v>
      </c>
      <c r="D21" s="25">
        <f t="shared" si="0"/>
        <v>-1.6774193548387096E-2</v>
      </c>
      <c r="E21" s="24"/>
      <c r="F21" s="11"/>
      <c r="G21" s="25"/>
      <c r="H21" s="11"/>
      <c r="I21" s="11"/>
      <c r="J21" s="25"/>
      <c r="K21" s="24">
        <v>775</v>
      </c>
      <c r="L21" s="11">
        <v>796</v>
      </c>
      <c r="M21" s="25">
        <f>(L21-K21)/K21</f>
        <v>2.7096774193548386E-2</v>
      </c>
    </row>
    <row r="22" spans="1:13" ht="17" thickBot="1" x14ac:dyDescent="0.25">
      <c r="A22" s="4" t="s">
        <v>26</v>
      </c>
      <c r="B22" s="23">
        <v>859</v>
      </c>
      <c r="C22" s="12">
        <v>859.63199999999995</v>
      </c>
      <c r="D22" s="26">
        <f>(C22-B22)/C22</f>
        <v>7.351983174194867E-4</v>
      </c>
      <c r="E22" s="23">
        <v>1044</v>
      </c>
      <c r="F22" s="12">
        <v>1044</v>
      </c>
      <c r="G22" s="26">
        <f>(F22-E22)/E22</f>
        <v>0</v>
      </c>
      <c r="H22" s="12">
        <v>1071</v>
      </c>
      <c r="I22" s="12">
        <v>1070.43</v>
      </c>
      <c r="J22" s="26">
        <f>(I22-H22)/H22</f>
        <v>-5.3221288515400218E-4</v>
      </c>
      <c r="K22" s="23">
        <v>950</v>
      </c>
      <c r="L22" s="12">
        <v>949</v>
      </c>
      <c r="M22" s="26">
        <f>(L22-K22)/K22</f>
        <v>-1.0526315789473684E-3</v>
      </c>
    </row>
    <row r="23" spans="1:13" x14ac:dyDescent="0.2">
      <c r="L23" s="13"/>
    </row>
  </sheetData>
  <mergeCells count="4">
    <mergeCell ref="B1:D1"/>
    <mergeCell ref="E1:G1"/>
    <mergeCell ref="H1:J1"/>
    <mergeCell ref="K1:M1"/>
  </mergeCells>
  <conditionalFormatting sqref="D3:D22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3:G22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J3:J2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M3:M2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04214-778C-8B4E-A672-719A6F860331}">
  <sheetPr codeName="Hoja3"/>
  <dimension ref="A1:M20"/>
  <sheetViews>
    <sheetView tabSelected="1" workbookViewId="0">
      <selection activeCell="F31" sqref="F31"/>
    </sheetView>
  </sheetViews>
  <sheetFormatPr baseColWidth="10" defaultRowHeight="16" x14ac:dyDescent="0.2"/>
  <cols>
    <col min="1" max="1" width="31.5" customWidth="1"/>
    <col min="2" max="2" width="10.83203125" customWidth="1"/>
  </cols>
  <sheetData>
    <row r="1" spans="1:13" x14ac:dyDescent="0.2">
      <c r="A1" s="65" t="s">
        <v>19</v>
      </c>
      <c r="B1" s="64" t="s">
        <v>50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3"/>
    </row>
    <row r="2" spans="1:13" ht="17" thickBot="1" x14ac:dyDescent="0.25">
      <c r="A2" s="66"/>
      <c r="B2" s="20">
        <v>0.82199999999999995</v>
      </c>
      <c r="C2" s="21">
        <v>0.83</v>
      </c>
      <c r="D2" s="21">
        <v>0.83399999999999996</v>
      </c>
      <c r="E2" s="21">
        <v>0.83599999999999997</v>
      </c>
      <c r="F2" s="21">
        <v>0.84</v>
      </c>
      <c r="G2" s="21">
        <v>0.84699999999999998</v>
      </c>
      <c r="H2" s="21">
        <v>0.85</v>
      </c>
      <c r="I2" s="21">
        <v>0.86</v>
      </c>
      <c r="J2" s="21">
        <v>0.87</v>
      </c>
      <c r="K2" s="21">
        <v>0.88</v>
      </c>
      <c r="L2" s="21">
        <v>0.89</v>
      </c>
      <c r="M2" s="22">
        <v>0.9</v>
      </c>
    </row>
    <row r="3" spans="1:13" x14ac:dyDescent="0.2">
      <c r="A3" s="15" t="s">
        <v>20</v>
      </c>
      <c r="B3" s="52">
        <v>-2.2907500000000001</v>
      </c>
      <c r="C3" s="75">
        <v>-3.29636</v>
      </c>
      <c r="D3" s="70"/>
      <c r="E3" s="70"/>
      <c r="F3" s="75">
        <v>-4.0483500000000001</v>
      </c>
      <c r="G3" s="70"/>
      <c r="H3" s="75">
        <v>-4.7284699999999997</v>
      </c>
      <c r="I3" s="75">
        <v>-5.1611500000000001</v>
      </c>
      <c r="J3" s="75">
        <v>-5.3369799999999996</v>
      </c>
      <c r="K3" s="75">
        <v>-5.3394599999999999</v>
      </c>
      <c r="L3" s="75">
        <v>-5.3394399999999997</v>
      </c>
      <c r="M3" s="16">
        <v>-5.33589</v>
      </c>
    </row>
    <row r="4" spans="1:13" x14ac:dyDescent="0.2">
      <c r="A4" s="15" t="s">
        <v>21</v>
      </c>
      <c r="B4" s="54"/>
      <c r="C4" s="75"/>
      <c r="D4" s="75"/>
      <c r="E4" s="75"/>
      <c r="F4" s="75"/>
      <c r="G4" s="75">
        <v>-1.25518</v>
      </c>
      <c r="H4" s="75">
        <v>-1.2779</v>
      </c>
      <c r="I4" s="75">
        <v>-1.33135</v>
      </c>
      <c r="J4" s="75">
        <v>-1.33135</v>
      </c>
      <c r="K4" s="75">
        <v>-1.33135</v>
      </c>
      <c r="L4" s="75">
        <v>-1.33135</v>
      </c>
      <c r="M4" s="16">
        <v>-1.33135</v>
      </c>
    </row>
    <row r="5" spans="1:13" x14ac:dyDescent="0.2">
      <c r="A5" s="15" t="s">
        <v>22</v>
      </c>
      <c r="B5" s="54"/>
      <c r="C5" s="75"/>
      <c r="D5" s="75"/>
      <c r="E5" s="75">
        <v>-1.2844100000000001</v>
      </c>
      <c r="F5" s="75">
        <v>-1.40526</v>
      </c>
      <c r="G5" s="70"/>
      <c r="H5" s="75">
        <v>-1.4248000000000001</v>
      </c>
      <c r="I5" s="75">
        <v>-1.42489</v>
      </c>
      <c r="J5" s="75">
        <v>-1.42591</v>
      </c>
      <c r="K5" s="75">
        <v>-1.42465</v>
      </c>
      <c r="L5" s="75">
        <v>-1.4256200000000001</v>
      </c>
      <c r="M5" s="16">
        <v>-1.4180600000000001</v>
      </c>
    </row>
    <row r="6" spans="1:13" ht="17" thickBot="1" x14ac:dyDescent="0.25">
      <c r="A6" s="14" t="s">
        <v>23</v>
      </c>
      <c r="B6" s="55"/>
      <c r="C6" s="17"/>
      <c r="D6" s="17">
        <v>-2.8877600000000001</v>
      </c>
      <c r="E6" s="76"/>
      <c r="F6" s="17">
        <v>-3.6188199999999999</v>
      </c>
      <c r="G6" s="76"/>
      <c r="H6" s="17">
        <v>-4.7140000000000004</v>
      </c>
      <c r="I6" s="17">
        <v>-5.6226500000000001</v>
      </c>
      <c r="J6" s="17">
        <v>-6.2093800000000003</v>
      </c>
      <c r="K6" s="17">
        <v>-6.4681600000000001</v>
      </c>
      <c r="L6" s="17">
        <v>-6.55037</v>
      </c>
      <c r="M6" s="18">
        <v>-6.5499400000000003</v>
      </c>
    </row>
    <row r="7" spans="1:13" ht="17" thickBot="1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65" t="s">
        <v>19</v>
      </c>
      <c r="B8" s="64" t="s">
        <v>29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3"/>
    </row>
    <row r="9" spans="1:13" ht="17" thickBot="1" x14ac:dyDescent="0.25">
      <c r="A9" s="66"/>
      <c r="B9" s="20">
        <v>0.82199999999999995</v>
      </c>
      <c r="C9" s="21">
        <v>0.83</v>
      </c>
      <c r="D9" s="21">
        <v>0.83399999999999996</v>
      </c>
      <c r="E9" s="21">
        <v>0.83599999999999997</v>
      </c>
      <c r="F9" s="21">
        <v>0.84</v>
      </c>
      <c r="G9" s="21">
        <v>0.84699999999999998</v>
      </c>
      <c r="H9" s="21">
        <v>0.85</v>
      </c>
      <c r="I9" s="21">
        <v>0.86</v>
      </c>
      <c r="J9" s="21">
        <v>0.87</v>
      </c>
      <c r="K9" s="21">
        <v>0.88</v>
      </c>
      <c r="L9" s="21">
        <v>0.89</v>
      </c>
      <c r="M9" s="22">
        <v>0.9</v>
      </c>
    </row>
    <row r="10" spans="1:13" x14ac:dyDescent="0.2">
      <c r="A10" s="15" t="s">
        <v>20</v>
      </c>
      <c r="B10" s="52">
        <v>74.66</v>
      </c>
      <c r="C10" s="75">
        <v>79.33</v>
      </c>
      <c r="D10" s="70"/>
      <c r="E10" s="70"/>
      <c r="F10" s="75">
        <v>72.77</v>
      </c>
      <c r="G10" s="70"/>
      <c r="H10" s="75">
        <v>78.84</v>
      </c>
      <c r="I10" s="75">
        <v>75.739999999999995</v>
      </c>
      <c r="J10" s="75">
        <v>84.76</v>
      </c>
      <c r="K10" s="75">
        <v>93.12</v>
      </c>
      <c r="L10" s="75">
        <v>98.43</v>
      </c>
      <c r="M10" s="16">
        <v>87.36</v>
      </c>
    </row>
    <row r="11" spans="1:13" x14ac:dyDescent="0.2">
      <c r="A11" s="15" t="s">
        <v>21</v>
      </c>
      <c r="B11" s="54"/>
      <c r="C11" s="75"/>
      <c r="D11" s="75"/>
      <c r="E11" s="75"/>
      <c r="F11" s="75"/>
      <c r="G11" s="75">
        <v>3.77</v>
      </c>
      <c r="H11" s="75">
        <v>2.96</v>
      </c>
      <c r="I11" s="75">
        <v>2.81</v>
      </c>
      <c r="J11" s="75">
        <v>2.87</v>
      </c>
      <c r="K11" s="75">
        <v>2.77</v>
      </c>
      <c r="L11" s="75">
        <v>2.78</v>
      </c>
      <c r="M11" s="16">
        <v>2.8</v>
      </c>
    </row>
    <row r="12" spans="1:13" x14ac:dyDescent="0.2">
      <c r="A12" s="15" t="s">
        <v>22</v>
      </c>
      <c r="B12" s="54"/>
      <c r="C12" s="75"/>
      <c r="D12" s="75"/>
      <c r="E12" s="75">
        <v>39.630000000000003</v>
      </c>
      <c r="F12" s="75">
        <v>38</v>
      </c>
      <c r="G12" s="70"/>
      <c r="H12" s="75">
        <v>35.81</v>
      </c>
      <c r="I12" s="75">
        <v>36.65</v>
      </c>
      <c r="J12" s="75">
        <v>36.700000000000003</v>
      </c>
      <c r="K12" s="75">
        <v>35.39</v>
      </c>
      <c r="L12" s="75">
        <v>36.81</v>
      </c>
      <c r="M12" s="16">
        <v>36.770000000000003</v>
      </c>
    </row>
    <row r="13" spans="1:13" ht="17" thickBot="1" x14ac:dyDescent="0.25">
      <c r="A13" s="14" t="s">
        <v>23</v>
      </c>
      <c r="B13" s="55"/>
      <c r="C13" s="17"/>
      <c r="D13" s="17">
        <v>257.83999999999997</v>
      </c>
      <c r="E13" s="76"/>
      <c r="F13" s="17">
        <v>241.63</v>
      </c>
      <c r="G13" s="76"/>
      <c r="H13" s="17">
        <v>284.51</v>
      </c>
      <c r="I13" s="17">
        <v>316.27</v>
      </c>
      <c r="J13" s="17">
        <v>243.47</v>
      </c>
      <c r="K13" s="17">
        <v>295.52999999999997</v>
      </c>
      <c r="L13" s="17">
        <v>277.05</v>
      </c>
      <c r="M13" s="18">
        <v>271.58999999999997</v>
      </c>
    </row>
    <row r="14" spans="1:13" ht="17" thickBot="1" x14ac:dyDescent="0.25"/>
    <row r="15" spans="1:13" x14ac:dyDescent="0.2">
      <c r="A15" s="65" t="s">
        <v>19</v>
      </c>
      <c r="B15" s="64" t="s">
        <v>42</v>
      </c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3"/>
    </row>
    <row r="16" spans="1:13" ht="17" thickBot="1" x14ac:dyDescent="0.25">
      <c r="A16" s="66"/>
      <c r="B16" s="20">
        <v>0.82199999999999995</v>
      </c>
      <c r="C16" s="21">
        <v>0.83</v>
      </c>
      <c r="D16" s="21">
        <v>0.83399999999999996</v>
      </c>
      <c r="E16" s="21">
        <v>0.83599999999999997</v>
      </c>
      <c r="F16" s="21">
        <v>0.84</v>
      </c>
      <c r="G16" s="21">
        <v>0.84699999999999998</v>
      </c>
      <c r="H16" s="21">
        <v>0.85</v>
      </c>
      <c r="I16" s="21">
        <v>0.86</v>
      </c>
      <c r="J16" s="21">
        <v>0.87</v>
      </c>
      <c r="K16" s="21">
        <v>0.88</v>
      </c>
      <c r="L16" s="21">
        <v>0.89</v>
      </c>
      <c r="M16" s="22">
        <v>0.9</v>
      </c>
    </row>
    <row r="17" spans="1:13" x14ac:dyDescent="0.2">
      <c r="A17" s="15" t="s">
        <v>20</v>
      </c>
      <c r="B17" s="56">
        <v>0</v>
      </c>
      <c r="C17" s="57">
        <v>0</v>
      </c>
      <c r="D17" s="70"/>
      <c r="E17" s="70"/>
      <c r="F17" s="58">
        <v>0</v>
      </c>
      <c r="G17" s="70"/>
      <c r="H17" s="58">
        <v>0</v>
      </c>
      <c r="I17" s="57">
        <v>0</v>
      </c>
      <c r="J17" s="58">
        <v>0.23</v>
      </c>
      <c r="K17" s="57">
        <v>1.36</v>
      </c>
      <c r="L17" s="57">
        <v>2.4700000000000002</v>
      </c>
      <c r="M17" s="59">
        <v>3.55</v>
      </c>
    </row>
    <row r="18" spans="1:13" x14ac:dyDescent="0.2">
      <c r="A18" s="15" t="s">
        <v>21</v>
      </c>
      <c r="B18" s="54"/>
      <c r="C18" s="75"/>
      <c r="D18" s="75"/>
      <c r="E18" s="75"/>
      <c r="F18" s="75"/>
      <c r="G18" s="72">
        <v>0</v>
      </c>
      <c r="H18" s="72">
        <v>0</v>
      </c>
      <c r="I18" s="72">
        <v>0.31</v>
      </c>
      <c r="J18" s="72">
        <v>1.46</v>
      </c>
      <c r="K18" s="72">
        <v>2.58</v>
      </c>
      <c r="L18" s="72">
        <v>3.67</v>
      </c>
      <c r="M18" s="29">
        <v>4.74</v>
      </c>
    </row>
    <row r="19" spans="1:13" x14ac:dyDescent="0.2">
      <c r="A19" s="15" t="s">
        <v>22</v>
      </c>
      <c r="B19" s="54"/>
      <c r="C19" s="75"/>
      <c r="D19" s="75"/>
      <c r="E19" s="72">
        <v>0</v>
      </c>
      <c r="F19" s="72">
        <v>0</v>
      </c>
      <c r="G19" s="70"/>
      <c r="H19" s="75">
        <v>1.06</v>
      </c>
      <c r="I19" s="72">
        <v>2.21</v>
      </c>
      <c r="J19" s="72">
        <v>3.34</v>
      </c>
      <c r="K19" s="72">
        <v>4.4400000000000004</v>
      </c>
      <c r="L19" s="72">
        <v>5.51</v>
      </c>
      <c r="M19" s="29">
        <v>6.57</v>
      </c>
    </row>
    <row r="20" spans="1:13" ht="17" thickBot="1" x14ac:dyDescent="0.25">
      <c r="A20" s="14" t="s">
        <v>23</v>
      </c>
      <c r="B20" s="55"/>
      <c r="C20" s="17"/>
      <c r="D20" s="17">
        <v>0</v>
      </c>
      <c r="E20" s="76"/>
      <c r="F20" s="17">
        <v>0</v>
      </c>
      <c r="G20" s="76"/>
      <c r="H20" s="17">
        <v>0</v>
      </c>
      <c r="I20" s="17">
        <v>0</v>
      </c>
      <c r="J20" s="17">
        <v>0</v>
      </c>
      <c r="K20" s="17">
        <v>0</v>
      </c>
      <c r="L20" s="17">
        <v>0.42</v>
      </c>
      <c r="M20" s="18">
        <v>1.53</v>
      </c>
    </row>
  </sheetData>
  <mergeCells count="6">
    <mergeCell ref="B1:M1"/>
    <mergeCell ref="A1:A2"/>
    <mergeCell ref="A8:A9"/>
    <mergeCell ref="B8:M8"/>
    <mergeCell ref="A15:A16"/>
    <mergeCell ref="B15:M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A87-813A-0F4E-A5D1-E2FF288F36DD}">
  <sheetPr codeName="Hoja4"/>
  <dimension ref="A1:L54"/>
  <sheetViews>
    <sheetView zoomScale="67" workbookViewId="0">
      <selection activeCell="Q15" sqref="Q15"/>
    </sheetView>
  </sheetViews>
  <sheetFormatPr baseColWidth="10" defaultRowHeight="16" x14ac:dyDescent="0.2"/>
  <cols>
    <col min="1" max="1" width="33" customWidth="1"/>
    <col min="2" max="2" width="10.83203125" customWidth="1"/>
  </cols>
  <sheetData>
    <row r="1" spans="1:12" x14ac:dyDescent="0.2">
      <c r="A1" s="65" t="s">
        <v>19</v>
      </c>
      <c r="B1" s="64" t="s">
        <v>50</v>
      </c>
      <c r="C1" s="61"/>
      <c r="D1" s="61"/>
      <c r="E1" s="61"/>
      <c r="F1" s="61"/>
      <c r="G1" s="61"/>
      <c r="H1" s="61"/>
      <c r="I1" s="61"/>
      <c r="J1" s="61"/>
      <c r="K1" s="61"/>
      <c r="L1" s="63"/>
    </row>
    <row r="2" spans="1:12" ht="17" thickBot="1" x14ac:dyDescent="0.25">
      <c r="A2" s="66"/>
      <c r="B2" s="43">
        <v>1</v>
      </c>
      <c r="C2" s="44">
        <v>1.05</v>
      </c>
      <c r="D2" s="44">
        <v>1.1000000000000001</v>
      </c>
      <c r="E2" s="44">
        <v>1.1499999999999999</v>
      </c>
      <c r="F2" s="44">
        <v>1.2</v>
      </c>
      <c r="G2" s="44">
        <v>1.25</v>
      </c>
      <c r="H2" s="44">
        <v>1.3</v>
      </c>
      <c r="I2" s="44">
        <v>1.35</v>
      </c>
      <c r="J2" s="44">
        <v>1.4</v>
      </c>
      <c r="K2" s="44">
        <v>1.45</v>
      </c>
      <c r="L2" s="45">
        <v>1.5</v>
      </c>
    </row>
    <row r="3" spans="1:12" x14ac:dyDescent="0.2">
      <c r="A3" s="15" t="s">
        <v>20</v>
      </c>
      <c r="B3" s="52">
        <v>-2.2907500000000001</v>
      </c>
      <c r="C3" s="53">
        <v>-4.1074200000000003</v>
      </c>
      <c r="D3" s="53">
        <v>-5.4601600000000001</v>
      </c>
      <c r="E3" s="53">
        <v>-6.7148099999999999</v>
      </c>
      <c r="F3" s="53">
        <v>-7.8564600000000002</v>
      </c>
      <c r="G3" s="53">
        <v>-8.4760200000000001</v>
      </c>
      <c r="H3" s="53">
        <v>-8.6761900000000001</v>
      </c>
      <c r="I3" s="53">
        <v>-8.87331</v>
      </c>
      <c r="J3" s="53">
        <v>-9.0272299999999994</v>
      </c>
      <c r="K3" s="53">
        <v>-9.0822900000000004</v>
      </c>
      <c r="L3" s="16">
        <v>-9.1313099999999991</v>
      </c>
    </row>
    <row r="4" spans="1:12" x14ac:dyDescent="0.2">
      <c r="A4" s="15" t="s">
        <v>21</v>
      </c>
      <c r="B4" s="54">
        <v>-1.25518</v>
      </c>
      <c r="C4" s="53">
        <v>-1.63361</v>
      </c>
      <c r="D4" s="53">
        <v>-2.00048</v>
      </c>
      <c r="E4" s="53">
        <v>-2.35955</v>
      </c>
      <c r="F4" s="53">
        <v>-2.71319</v>
      </c>
      <c r="G4" s="53">
        <v>-3.0620699999999998</v>
      </c>
      <c r="H4" s="53">
        <v>-3.4085399999999999</v>
      </c>
      <c r="I4" s="53">
        <v>-3.7523499999999999</v>
      </c>
      <c r="J4" s="53">
        <v>-4.08805</v>
      </c>
      <c r="K4" s="53">
        <v>-4.4092099999999999</v>
      </c>
      <c r="L4" s="16">
        <v>-4.7075399999999998</v>
      </c>
    </row>
    <row r="5" spans="1:12" x14ac:dyDescent="0.2">
      <c r="A5" s="15" t="s">
        <v>22</v>
      </c>
      <c r="B5" s="54">
        <v>-1.2844100000000001</v>
      </c>
      <c r="C5" s="53">
        <v>-1.7714700000000001</v>
      </c>
      <c r="D5" s="53">
        <v>-2.1694800000000001</v>
      </c>
      <c r="E5" s="53">
        <v>-2.55829</v>
      </c>
      <c r="F5" s="53">
        <v>-2.9446599999999998</v>
      </c>
      <c r="G5" s="53">
        <v>-3.3252000000000002</v>
      </c>
      <c r="H5" s="53">
        <v>-3.7014499999999999</v>
      </c>
      <c r="I5" s="53">
        <v>-4.0714399999999999</v>
      </c>
      <c r="J5" s="53">
        <v>-4.4296600000000002</v>
      </c>
      <c r="K5" s="53">
        <v>-4.7069799999999997</v>
      </c>
      <c r="L5" s="16">
        <v>-4.9765100000000002</v>
      </c>
    </row>
    <row r="6" spans="1:12" ht="17" thickBot="1" x14ac:dyDescent="0.25">
      <c r="A6" s="14" t="s">
        <v>23</v>
      </c>
      <c r="B6" s="55">
        <v>-2.8877600000000001</v>
      </c>
      <c r="C6" s="17">
        <v>-4.4904099999999998</v>
      </c>
      <c r="D6" s="17">
        <v>-5.8090000000000002</v>
      </c>
      <c r="E6" s="17">
        <v>-6.7631100000000002</v>
      </c>
      <c r="F6" s="17">
        <v>-7.46523</v>
      </c>
      <c r="G6" s="17">
        <v>-8.1290999999999993</v>
      </c>
      <c r="H6" s="17">
        <v>-8.7678200000000004</v>
      </c>
      <c r="I6" s="17">
        <v>-9.3747900000000008</v>
      </c>
      <c r="J6" s="17">
        <v>-9.8490000000000002</v>
      </c>
      <c r="K6" s="17">
        <v>-10.2202</v>
      </c>
      <c r="L6" s="18">
        <v>-10.5829</v>
      </c>
    </row>
    <row r="7" spans="1:12" ht="17" thickBot="1" x14ac:dyDescent="0.25"/>
    <row r="8" spans="1:12" x14ac:dyDescent="0.2">
      <c r="A8" s="65" t="s">
        <v>19</v>
      </c>
      <c r="B8" s="64" t="s">
        <v>29</v>
      </c>
      <c r="C8" s="61"/>
      <c r="D8" s="61"/>
      <c r="E8" s="61"/>
      <c r="F8" s="61"/>
      <c r="G8" s="61"/>
      <c r="H8" s="61"/>
      <c r="I8" s="61"/>
      <c r="J8" s="61"/>
      <c r="K8" s="61"/>
      <c r="L8" s="63"/>
    </row>
    <row r="9" spans="1:12" ht="17" thickBot="1" x14ac:dyDescent="0.25">
      <c r="A9" s="66"/>
      <c r="B9" s="43">
        <v>1</v>
      </c>
      <c r="C9" s="44">
        <v>1.05</v>
      </c>
      <c r="D9" s="44">
        <v>1.1000000000000001</v>
      </c>
      <c r="E9" s="44">
        <v>1.1499999999999999</v>
      </c>
      <c r="F9" s="44">
        <v>1.2</v>
      </c>
      <c r="G9" s="44">
        <v>1.25</v>
      </c>
      <c r="H9" s="44">
        <v>1.3</v>
      </c>
      <c r="I9" s="44">
        <v>1.35</v>
      </c>
      <c r="J9" s="44">
        <v>1.4</v>
      </c>
      <c r="K9" s="44">
        <v>1.45</v>
      </c>
      <c r="L9" s="45">
        <v>1.5</v>
      </c>
    </row>
    <row r="10" spans="1:12" x14ac:dyDescent="0.2">
      <c r="A10" s="15" t="s">
        <v>20</v>
      </c>
      <c r="B10" s="52">
        <v>73.56</v>
      </c>
      <c r="C10" s="53">
        <v>100.98</v>
      </c>
      <c r="D10" s="53">
        <v>108.38</v>
      </c>
      <c r="E10" s="53">
        <v>115.88</v>
      </c>
      <c r="F10" s="53">
        <v>74.31</v>
      </c>
      <c r="G10" s="53">
        <v>115.95</v>
      </c>
      <c r="H10" s="53">
        <v>70.849999999999994</v>
      </c>
      <c r="I10" s="53">
        <v>119.96</v>
      </c>
      <c r="J10" s="53">
        <v>99.94</v>
      </c>
      <c r="K10" s="53">
        <v>107.17</v>
      </c>
      <c r="L10" s="16">
        <v>109.78</v>
      </c>
    </row>
    <row r="11" spans="1:12" x14ac:dyDescent="0.2">
      <c r="A11" s="15" t="s">
        <v>21</v>
      </c>
      <c r="B11" s="54">
        <v>3.87</v>
      </c>
      <c r="C11" s="53">
        <v>59.72</v>
      </c>
      <c r="D11" s="53">
        <v>58.9</v>
      </c>
      <c r="E11" s="53">
        <v>59.49</v>
      </c>
      <c r="F11" s="53">
        <v>50.24</v>
      </c>
      <c r="G11" s="53">
        <v>2.9</v>
      </c>
      <c r="H11" s="53">
        <v>3.35</v>
      </c>
      <c r="I11" s="53">
        <v>3.18</v>
      </c>
      <c r="J11" s="53">
        <v>2.2599999999999998</v>
      </c>
      <c r="K11" s="53">
        <v>57.31</v>
      </c>
      <c r="L11" s="16">
        <v>58.75</v>
      </c>
    </row>
    <row r="12" spans="1:12" x14ac:dyDescent="0.2">
      <c r="A12" s="15" t="s">
        <v>22</v>
      </c>
      <c r="B12" s="54">
        <v>39.619999999999997</v>
      </c>
      <c r="C12" s="53">
        <v>62.8</v>
      </c>
      <c r="D12" s="53">
        <v>51.63</v>
      </c>
      <c r="E12" s="53">
        <v>2.4</v>
      </c>
      <c r="F12" s="53">
        <v>2.54</v>
      </c>
      <c r="G12" s="53">
        <v>2.4900000000000002</v>
      </c>
      <c r="H12" s="53">
        <v>52.2</v>
      </c>
      <c r="I12" s="53">
        <v>68.02</v>
      </c>
      <c r="J12" s="53">
        <v>62.05</v>
      </c>
      <c r="K12" s="53">
        <v>2.85</v>
      </c>
      <c r="L12" s="16">
        <v>2.3199999999999998</v>
      </c>
    </row>
    <row r="13" spans="1:12" ht="17" thickBot="1" x14ac:dyDescent="0.25">
      <c r="A13" s="14" t="s">
        <v>23</v>
      </c>
      <c r="B13" s="55">
        <v>257.24</v>
      </c>
      <c r="C13" s="17">
        <v>305.93</v>
      </c>
      <c r="D13" s="17">
        <v>271.48</v>
      </c>
      <c r="E13" s="17">
        <v>335.65</v>
      </c>
      <c r="F13" s="17">
        <v>354.2</v>
      </c>
      <c r="G13" s="17">
        <v>288.52999999999997</v>
      </c>
      <c r="H13" s="17">
        <v>441.99</v>
      </c>
      <c r="I13" s="17">
        <v>372.59</v>
      </c>
      <c r="J13" s="17">
        <v>257.77</v>
      </c>
      <c r="K13" s="17">
        <v>389.32</v>
      </c>
      <c r="L13" s="18">
        <v>380.28</v>
      </c>
    </row>
    <row r="14" spans="1:12" ht="17" thickBot="1" x14ac:dyDescent="0.25"/>
    <row r="15" spans="1:12" x14ac:dyDescent="0.2">
      <c r="A15" s="19" t="s">
        <v>19</v>
      </c>
      <c r="B15" s="64" t="s">
        <v>41</v>
      </c>
      <c r="C15" s="61"/>
      <c r="D15" s="61"/>
      <c r="E15" s="61"/>
      <c r="F15" s="61"/>
      <c r="G15" s="61"/>
      <c r="H15" s="61"/>
      <c r="I15" s="61"/>
      <c r="J15" s="61"/>
      <c r="K15" s="61"/>
      <c r="L15" s="63"/>
    </row>
    <row r="16" spans="1:12" ht="17" thickBot="1" x14ac:dyDescent="0.25">
      <c r="A16" s="51" t="s">
        <v>20</v>
      </c>
      <c r="B16" s="43">
        <v>1</v>
      </c>
      <c r="C16" s="44">
        <v>1.05</v>
      </c>
      <c r="D16" s="44">
        <v>1.1000000000000001</v>
      </c>
      <c r="E16" s="44">
        <v>1.1499999999999999</v>
      </c>
      <c r="F16" s="44">
        <v>1.2</v>
      </c>
      <c r="G16" s="44">
        <v>1.25</v>
      </c>
      <c r="H16" s="44">
        <v>1.3</v>
      </c>
      <c r="I16" s="44">
        <v>1.35</v>
      </c>
      <c r="J16" s="44">
        <v>1.4</v>
      </c>
      <c r="K16" s="44">
        <v>1.45</v>
      </c>
      <c r="L16" s="45">
        <v>1.5</v>
      </c>
    </row>
    <row r="17" spans="1:12" x14ac:dyDescent="0.2">
      <c r="A17" s="46" t="s">
        <v>0</v>
      </c>
      <c r="B17" s="67">
        <v>0</v>
      </c>
      <c r="C17" s="70">
        <v>0</v>
      </c>
      <c r="D17" s="70">
        <v>0</v>
      </c>
      <c r="E17" s="70">
        <v>0</v>
      </c>
      <c r="F17" s="70">
        <v>0</v>
      </c>
      <c r="G17" s="70">
        <v>0</v>
      </c>
      <c r="H17" s="70">
        <v>0</v>
      </c>
      <c r="I17" s="70">
        <v>0</v>
      </c>
      <c r="J17" s="70">
        <v>0.1</v>
      </c>
      <c r="K17" s="70">
        <v>5.42</v>
      </c>
      <c r="L17" s="71">
        <v>10.44</v>
      </c>
    </row>
    <row r="18" spans="1:12" x14ac:dyDescent="0.2">
      <c r="A18" s="46" t="s">
        <v>1</v>
      </c>
      <c r="B18" s="68">
        <v>0</v>
      </c>
      <c r="C18" s="70">
        <v>0.01</v>
      </c>
      <c r="D18" s="70">
        <v>0</v>
      </c>
      <c r="E18" s="70">
        <v>0</v>
      </c>
      <c r="F18" s="70">
        <v>0</v>
      </c>
      <c r="G18" s="70">
        <v>0</v>
      </c>
      <c r="H18" s="70">
        <v>0</v>
      </c>
      <c r="I18" s="70">
        <v>0</v>
      </c>
      <c r="J18" s="70">
        <v>0</v>
      </c>
      <c r="K18" s="70">
        <v>0</v>
      </c>
      <c r="L18" s="71">
        <v>0</v>
      </c>
    </row>
    <row r="19" spans="1:12" x14ac:dyDescent="0.2">
      <c r="A19" s="46" t="s">
        <v>5</v>
      </c>
      <c r="B19" s="68">
        <v>0</v>
      </c>
      <c r="C19" s="70">
        <v>0</v>
      </c>
      <c r="D19" s="70">
        <v>0</v>
      </c>
      <c r="E19" s="70">
        <v>0</v>
      </c>
      <c r="F19" s="70">
        <v>100</v>
      </c>
      <c r="G19" s="70">
        <v>0</v>
      </c>
      <c r="H19" s="70">
        <v>25.64</v>
      </c>
      <c r="I19" s="70">
        <v>100</v>
      </c>
      <c r="J19" s="70">
        <v>100</v>
      </c>
      <c r="K19" s="70">
        <v>100</v>
      </c>
      <c r="L19" s="71">
        <v>100</v>
      </c>
    </row>
    <row r="20" spans="1:12" x14ac:dyDescent="0.2">
      <c r="A20" s="46" t="s">
        <v>6</v>
      </c>
      <c r="B20" s="68">
        <v>0</v>
      </c>
      <c r="C20" s="70">
        <v>0</v>
      </c>
      <c r="D20" s="70">
        <v>0</v>
      </c>
      <c r="E20" s="70">
        <v>0</v>
      </c>
      <c r="F20" s="70">
        <v>0</v>
      </c>
      <c r="G20" s="70">
        <v>97.22</v>
      </c>
      <c r="H20" s="70">
        <v>100</v>
      </c>
      <c r="I20" s="70">
        <v>100</v>
      </c>
      <c r="J20" s="70">
        <v>100</v>
      </c>
      <c r="K20" s="70">
        <v>100</v>
      </c>
      <c r="L20" s="71">
        <v>100</v>
      </c>
    </row>
    <row r="21" spans="1:12" x14ac:dyDescent="0.2">
      <c r="A21" s="46" t="s">
        <v>9</v>
      </c>
      <c r="B21" s="68">
        <v>0.01</v>
      </c>
      <c r="C21" s="70">
        <v>0.01</v>
      </c>
      <c r="D21" s="70">
        <v>0.01</v>
      </c>
      <c r="E21" s="70">
        <v>0.01</v>
      </c>
      <c r="F21" s="70">
        <v>0.01</v>
      </c>
      <c r="G21" s="70">
        <v>0.01</v>
      </c>
      <c r="H21" s="70">
        <v>100</v>
      </c>
      <c r="I21" s="70">
        <v>100</v>
      </c>
      <c r="J21" s="70">
        <v>100</v>
      </c>
      <c r="K21" s="70">
        <v>100</v>
      </c>
      <c r="L21" s="71">
        <v>100</v>
      </c>
    </row>
    <row r="22" spans="1:12" x14ac:dyDescent="0.2">
      <c r="A22" s="47" t="s">
        <v>17</v>
      </c>
      <c r="B22" s="68">
        <v>1.04</v>
      </c>
      <c r="C22" s="70">
        <v>27.67</v>
      </c>
      <c r="D22" s="70">
        <v>50.02</v>
      </c>
      <c r="E22" s="70">
        <v>70.69</v>
      </c>
      <c r="F22" s="70">
        <v>89.63</v>
      </c>
      <c r="G22" s="70">
        <v>100</v>
      </c>
      <c r="H22" s="70">
        <v>100</v>
      </c>
      <c r="I22" s="70">
        <v>100</v>
      </c>
      <c r="J22" s="70">
        <v>100</v>
      </c>
      <c r="K22" s="70">
        <v>100</v>
      </c>
      <c r="L22" s="71">
        <v>100</v>
      </c>
    </row>
    <row r="23" spans="1:12" x14ac:dyDescent="0.2">
      <c r="A23" s="47" t="s">
        <v>18</v>
      </c>
      <c r="B23" s="69">
        <v>0</v>
      </c>
      <c r="C23" s="70">
        <v>0</v>
      </c>
      <c r="D23" s="70">
        <v>0</v>
      </c>
      <c r="E23" s="70">
        <v>0</v>
      </c>
      <c r="F23" s="70">
        <v>0</v>
      </c>
      <c r="G23" s="70">
        <v>8.68</v>
      </c>
      <c r="H23" s="70">
        <v>28.47</v>
      </c>
      <c r="I23" s="70">
        <v>46.79</v>
      </c>
      <c r="J23" s="70">
        <v>63.52</v>
      </c>
      <c r="K23" s="70">
        <v>64.930000000000007</v>
      </c>
      <c r="L23" s="71">
        <v>66.09</v>
      </c>
    </row>
    <row r="24" spans="1:12" ht="17" thickBot="1" x14ac:dyDescent="0.25">
      <c r="A24" s="51" t="s">
        <v>21</v>
      </c>
      <c r="B24" s="43"/>
      <c r="C24" s="44"/>
      <c r="D24" s="44"/>
      <c r="E24" s="44"/>
      <c r="F24" s="44"/>
      <c r="G24" s="44"/>
      <c r="H24" s="44"/>
      <c r="I24" s="44"/>
      <c r="J24" s="44"/>
      <c r="K24" s="44"/>
      <c r="L24" s="45"/>
    </row>
    <row r="25" spans="1:12" x14ac:dyDescent="0.2">
      <c r="A25" s="46" t="s">
        <v>10</v>
      </c>
      <c r="B25" s="67">
        <v>0</v>
      </c>
      <c r="C25" s="70">
        <v>0</v>
      </c>
      <c r="D25" s="70">
        <v>0</v>
      </c>
      <c r="E25" s="70">
        <v>0</v>
      </c>
      <c r="F25" s="70">
        <v>0</v>
      </c>
      <c r="G25" s="70">
        <v>0</v>
      </c>
      <c r="H25" s="70">
        <v>0</v>
      </c>
      <c r="I25" s="70">
        <v>0</v>
      </c>
      <c r="J25" s="70">
        <v>0</v>
      </c>
      <c r="K25" s="70">
        <v>0</v>
      </c>
      <c r="L25" s="71">
        <v>0</v>
      </c>
    </row>
    <row r="26" spans="1:12" x14ac:dyDescent="0.2">
      <c r="A26" s="46" t="s">
        <v>13</v>
      </c>
      <c r="B26" s="68">
        <v>19.95</v>
      </c>
      <c r="C26" s="70">
        <v>32.04</v>
      </c>
      <c r="D26" s="70">
        <v>40</v>
      </c>
      <c r="E26" s="70">
        <v>40.76</v>
      </c>
      <c r="F26" s="70">
        <v>35.130000000000003</v>
      </c>
      <c r="G26" s="70">
        <v>38.380000000000003</v>
      </c>
      <c r="H26" s="70">
        <v>39.72</v>
      </c>
      <c r="I26" s="70">
        <v>41.15</v>
      </c>
      <c r="J26" s="70">
        <v>42.33</v>
      </c>
      <c r="K26" s="70">
        <v>42.34</v>
      </c>
      <c r="L26" s="71">
        <v>47.45</v>
      </c>
    </row>
    <row r="27" spans="1:12" x14ac:dyDescent="0.2">
      <c r="A27" s="46" t="s">
        <v>14</v>
      </c>
      <c r="B27" s="69">
        <v>0</v>
      </c>
      <c r="C27" s="70">
        <v>7.24</v>
      </c>
      <c r="D27" s="70">
        <v>14.49</v>
      </c>
      <c r="E27" s="70">
        <v>22.52</v>
      </c>
      <c r="F27" s="70">
        <v>31.27</v>
      </c>
      <c r="G27" s="70">
        <v>37.479999999999997</v>
      </c>
      <c r="H27" s="70">
        <v>43.57</v>
      </c>
      <c r="I27" s="70">
        <v>49.17</v>
      </c>
      <c r="J27" s="70">
        <v>54.4</v>
      </c>
      <c r="K27" s="70">
        <v>59.51</v>
      </c>
      <c r="L27" s="71">
        <v>63.16</v>
      </c>
    </row>
    <row r="28" spans="1:12" ht="17" thickBot="1" x14ac:dyDescent="0.25">
      <c r="A28" s="51" t="s">
        <v>40</v>
      </c>
      <c r="B28" s="43">
        <v>1</v>
      </c>
      <c r="C28" s="44">
        <v>1.05</v>
      </c>
      <c r="D28" s="44">
        <v>1.1000000000000001</v>
      </c>
      <c r="E28" s="44">
        <v>1.1499999999999999</v>
      </c>
      <c r="F28" s="44">
        <v>1.2</v>
      </c>
      <c r="G28" s="44">
        <v>1.25</v>
      </c>
      <c r="H28" s="44">
        <v>1.3</v>
      </c>
      <c r="I28" s="44">
        <v>1.35</v>
      </c>
      <c r="J28" s="44">
        <v>1.4</v>
      </c>
      <c r="K28" s="44">
        <v>1.45</v>
      </c>
      <c r="L28" s="45">
        <v>1.5</v>
      </c>
    </row>
    <row r="29" spans="1:12" x14ac:dyDescent="0.2">
      <c r="A29" s="46" t="s">
        <v>0</v>
      </c>
      <c r="B29" s="49">
        <v>0</v>
      </c>
      <c r="C29" s="72">
        <v>0</v>
      </c>
      <c r="D29" s="72">
        <v>0</v>
      </c>
      <c r="E29" s="72">
        <v>0</v>
      </c>
      <c r="F29" s="72">
        <v>0</v>
      </c>
      <c r="G29" s="72">
        <v>0</v>
      </c>
      <c r="H29" s="72">
        <v>0</v>
      </c>
      <c r="I29" s="72">
        <v>0</v>
      </c>
      <c r="J29" s="72">
        <v>0</v>
      </c>
      <c r="K29" s="72">
        <v>0</v>
      </c>
      <c r="L29" s="29">
        <v>0</v>
      </c>
    </row>
    <row r="30" spans="1:12" x14ac:dyDescent="0.2">
      <c r="A30" s="46" t="s">
        <v>1</v>
      </c>
      <c r="B30" s="49">
        <v>0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2">
        <v>0</v>
      </c>
      <c r="I30" s="72">
        <v>0</v>
      </c>
      <c r="J30" s="72">
        <v>0</v>
      </c>
      <c r="K30" s="72">
        <v>0</v>
      </c>
      <c r="L30" s="29">
        <v>0</v>
      </c>
    </row>
    <row r="31" spans="1:12" x14ac:dyDescent="0.2">
      <c r="A31" s="46" t="s">
        <v>2</v>
      </c>
      <c r="B31" s="49">
        <v>0</v>
      </c>
      <c r="C31" s="72">
        <v>0</v>
      </c>
      <c r="D31" s="72">
        <v>39.340000000000003</v>
      </c>
      <c r="E31" s="72">
        <v>51.9</v>
      </c>
      <c r="F31" s="72">
        <v>63.43</v>
      </c>
      <c r="G31" s="72">
        <v>73.849999999999994</v>
      </c>
      <c r="H31" s="72">
        <v>83.64</v>
      </c>
      <c r="I31" s="72">
        <v>92.69</v>
      </c>
      <c r="J31" s="72">
        <v>99.87</v>
      </c>
      <c r="K31" s="72">
        <v>99.99</v>
      </c>
      <c r="L31" s="29">
        <v>100</v>
      </c>
    </row>
    <row r="32" spans="1:12" x14ac:dyDescent="0.2">
      <c r="A32" s="46" t="s">
        <v>3</v>
      </c>
      <c r="B32" s="49">
        <v>0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</v>
      </c>
      <c r="J32" s="72">
        <v>0</v>
      </c>
      <c r="K32" s="72">
        <v>0</v>
      </c>
      <c r="L32" s="29">
        <v>3.86</v>
      </c>
    </row>
    <row r="33" spans="1:12" x14ac:dyDescent="0.2">
      <c r="A33" s="46" t="s">
        <v>4</v>
      </c>
      <c r="B33" s="49">
        <v>0</v>
      </c>
      <c r="C33" s="72">
        <v>0</v>
      </c>
      <c r="D33" s="72">
        <v>0</v>
      </c>
      <c r="E33" s="72">
        <v>0</v>
      </c>
      <c r="F33" s="72">
        <v>34.47</v>
      </c>
      <c r="G33" s="72">
        <v>43.08</v>
      </c>
      <c r="H33" s="72">
        <v>50.92</v>
      </c>
      <c r="I33" s="72">
        <v>58.17</v>
      </c>
      <c r="J33" s="72">
        <v>65.760000000000005</v>
      </c>
      <c r="K33" s="72">
        <v>77.25</v>
      </c>
      <c r="L33" s="29">
        <v>80.459999999999994</v>
      </c>
    </row>
    <row r="34" spans="1:12" x14ac:dyDescent="0.2">
      <c r="A34" s="47" t="s">
        <v>15</v>
      </c>
      <c r="B34" s="49">
        <v>19.55</v>
      </c>
      <c r="C34" s="72">
        <v>100</v>
      </c>
      <c r="D34" s="72">
        <v>100</v>
      </c>
      <c r="E34" s="72">
        <v>100</v>
      </c>
      <c r="F34" s="72">
        <v>100</v>
      </c>
      <c r="G34" s="72">
        <v>100</v>
      </c>
      <c r="H34" s="72">
        <v>100</v>
      </c>
      <c r="I34" s="72">
        <v>100</v>
      </c>
      <c r="J34" s="72">
        <v>100</v>
      </c>
      <c r="K34" s="72">
        <v>100</v>
      </c>
      <c r="L34" s="29">
        <v>100</v>
      </c>
    </row>
    <row r="35" spans="1:12" ht="17" thickBot="1" x14ac:dyDescent="0.25">
      <c r="A35" s="51" t="s">
        <v>23</v>
      </c>
      <c r="B35" s="43">
        <v>1</v>
      </c>
      <c r="C35" s="44">
        <v>1.05</v>
      </c>
      <c r="D35" s="44">
        <v>1.1000000000000001</v>
      </c>
      <c r="E35" s="44">
        <v>1.1499999999999999</v>
      </c>
      <c r="F35" s="44">
        <v>1.2</v>
      </c>
      <c r="G35" s="44">
        <v>1.25</v>
      </c>
      <c r="H35" s="44">
        <v>1.3</v>
      </c>
      <c r="I35" s="44">
        <v>1.35</v>
      </c>
      <c r="J35" s="44">
        <v>1.4</v>
      </c>
      <c r="K35" s="44">
        <v>1.45</v>
      </c>
      <c r="L35" s="45">
        <v>1.5</v>
      </c>
    </row>
    <row r="36" spans="1:12" x14ac:dyDescent="0.2">
      <c r="A36" s="46" t="s">
        <v>0</v>
      </c>
      <c r="B36" s="49">
        <v>0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29">
        <v>0</v>
      </c>
    </row>
    <row r="37" spans="1:12" x14ac:dyDescent="0.2">
      <c r="A37" s="46" t="s">
        <v>1</v>
      </c>
      <c r="B37" s="49">
        <v>0</v>
      </c>
      <c r="C37" s="72">
        <v>0</v>
      </c>
      <c r="D37" s="72">
        <v>0</v>
      </c>
      <c r="E37" s="72">
        <v>0</v>
      </c>
      <c r="F37" s="72">
        <v>0</v>
      </c>
      <c r="G37" s="72">
        <v>0</v>
      </c>
      <c r="H37" s="72">
        <v>0</v>
      </c>
      <c r="I37" s="72">
        <v>0</v>
      </c>
      <c r="J37" s="72">
        <v>0</v>
      </c>
      <c r="K37" s="72">
        <v>0</v>
      </c>
      <c r="L37" s="29">
        <v>0</v>
      </c>
    </row>
    <row r="38" spans="1:12" x14ac:dyDescent="0.2">
      <c r="A38" s="46" t="s">
        <v>2</v>
      </c>
      <c r="B38" s="49">
        <v>0.01</v>
      </c>
      <c r="C38" s="72">
        <v>0.01</v>
      </c>
      <c r="D38" s="72">
        <v>72.430000000000007</v>
      </c>
      <c r="E38" s="72">
        <v>100</v>
      </c>
      <c r="F38" s="72">
        <v>100</v>
      </c>
      <c r="G38" s="72">
        <v>100</v>
      </c>
      <c r="H38" s="72">
        <v>100</v>
      </c>
      <c r="I38" s="72">
        <v>100</v>
      </c>
      <c r="J38" s="72">
        <v>100</v>
      </c>
      <c r="K38" s="72">
        <v>100</v>
      </c>
      <c r="L38" s="29">
        <v>100</v>
      </c>
    </row>
    <row r="39" spans="1:12" x14ac:dyDescent="0.2">
      <c r="A39" s="46" t="s">
        <v>3</v>
      </c>
      <c r="B39" s="49">
        <v>0.01</v>
      </c>
      <c r="C39" s="72">
        <v>0.01</v>
      </c>
      <c r="D39" s="72">
        <v>0.01</v>
      </c>
      <c r="E39" s="72">
        <v>0</v>
      </c>
      <c r="F39" s="72">
        <v>23.38</v>
      </c>
      <c r="G39" s="72">
        <v>47.18</v>
      </c>
      <c r="H39" s="72">
        <v>69.14</v>
      </c>
      <c r="I39" s="72">
        <v>89.48</v>
      </c>
      <c r="J39" s="72">
        <v>100</v>
      </c>
      <c r="K39" s="72">
        <v>100</v>
      </c>
      <c r="L39" s="29">
        <v>100</v>
      </c>
    </row>
    <row r="40" spans="1:12" x14ac:dyDescent="0.2">
      <c r="A40" s="46" t="s">
        <v>4</v>
      </c>
      <c r="B40" s="49">
        <v>0</v>
      </c>
      <c r="C40" s="72">
        <v>0</v>
      </c>
      <c r="D40" s="72">
        <v>0</v>
      </c>
      <c r="E40" s="72">
        <v>0</v>
      </c>
      <c r="F40" s="72">
        <v>0</v>
      </c>
      <c r="G40" s="72">
        <v>0</v>
      </c>
      <c r="H40" s="72">
        <v>0</v>
      </c>
      <c r="I40" s="72">
        <v>0</v>
      </c>
      <c r="J40" s="72">
        <v>12.45</v>
      </c>
      <c r="K40" s="72">
        <v>35.75</v>
      </c>
      <c r="L40" s="29">
        <v>58.53</v>
      </c>
    </row>
    <row r="41" spans="1:12" x14ac:dyDescent="0.2">
      <c r="A41" s="46" t="s">
        <v>5</v>
      </c>
      <c r="B41" s="49">
        <v>0</v>
      </c>
      <c r="C41" s="72">
        <v>0</v>
      </c>
      <c r="D41" s="72">
        <v>0</v>
      </c>
      <c r="E41" s="72">
        <v>0</v>
      </c>
      <c r="F41" s="72">
        <v>0</v>
      </c>
      <c r="G41" s="72">
        <v>100</v>
      </c>
      <c r="H41" s="72">
        <v>100</v>
      </c>
      <c r="I41" s="72">
        <v>100</v>
      </c>
      <c r="J41" s="72">
        <v>100</v>
      </c>
      <c r="K41" s="72">
        <v>100</v>
      </c>
      <c r="L41" s="29">
        <v>100</v>
      </c>
    </row>
    <row r="42" spans="1:12" x14ac:dyDescent="0.2">
      <c r="A42" s="46" t="s">
        <v>6</v>
      </c>
      <c r="B42" s="49">
        <v>0</v>
      </c>
      <c r="C42" s="72">
        <v>0</v>
      </c>
      <c r="D42" s="72">
        <v>0</v>
      </c>
      <c r="E42" s="72">
        <v>0</v>
      </c>
      <c r="F42" s="72">
        <v>0</v>
      </c>
      <c r="G42" s="72">
        <v>0</v>
      </c>
      <c r="H42" s="72">
        <v>100</v>
      </c>
      <c r="I42" s="72">
        <v>100</v>
      </c>
      <c r="J42" s="72">
        <v>100</v>
      </c>
      <c r="K42" s="72">
        <v>100</v>
      </c>
      <c r="L42" s="29">
        <v>100</v>
      </c>
    </row>
    <row r="43" spans="1:12" x14ac:dyDescent="0.2">
      <c r="A43" s="46" t="s">
        <v>7</v>
      </c>
      <c r="B43" s="49">
        <v>0</v>
      </c>
      <c r="C43" s="72">
        <v>0</v>
      </c>
      <c r="D43" s="72">
        <v>0</v>
      </c>
      <c r="E43" s="72">
        <v>0</v>
      </c>
      <c r="F43" s="72">
        <v>0</v>
      </c>
      <c r="G43" s="72">
        <v>0</v>
      </c>
      <c r="H43" s="72">
        <v>0</v>
      </c>
      <c r="I43" s="72">
        <v>0.01</v>
      </c>
      <c r="J43" s="72">
        <v>96.17</v>
      </c>
      <c r="K43" s="72">
        <v>100</v>
      </c>
      <c r="L43" s="29">
        <v>100</v>
      </c>
    </row>
    <row r="44" spans="1:12" x14ac:dyDescent="0.2">
      <c r="A44" s="46" t="s">
        <v>8</v>
      </c>
      <c r="B44" s="49">
        <v>0</v>
      </c>
      <c r="C44" s="72">
        <v>0</v>
      </c>
      <c r="D44" s="72">
        <v>0</v>
      </c>
      <c r="E44" s="72">
        <v>0</v>
      </c>
      <c r="F44" s="72">
        <v>0</v>
      </c>
      <c r="G44" s="72">
        <v>0</v>
      </c>
      <c r="H44" s="72">
        <v>0</v>
      </c>
      <c r="I44" s="72">
        <v>0</v>
      </c>
      <c r="J44" s="72">
        <v>0</v>
      </c>
      <c r="K44" s="72">
        <v>53.74</v>
      </c>
      <c r="L44" s="29">
        <v>99.49</v>
      </c>
    </row>
    <row r="45" spans="1:12" x14ac:dyDescent="0.2">
      <c r="A45" s="46" t="s">
        <v>9</v>
      </c>
      <c r="B45" s="49">
        <v>0</v>
      </c>
      <c r="C45" s="72">
        <v>0</v>
      </c>
      <c r="D45" s="72">
        <v>0</v>
      </c>
      <c r="E45" s="72">
        <v>0</v>
      </c>
      <c r="F45" s="72">
        <v>0</v>
      </c>
      <c r="G45" s="72">
        <v>0</v>
      </c>
      <c r="H45" s="72">
        <v>0</v>
      </c>
      <c r="I45" s="72">
        <v>0</v>
      </c>
      <c r="J45" s="72">
        <v>0</v>
      </c>
      <c r="K45" s="72">
        <v>0</v>
      </c>
      <c r="L45" s="29">
        <v>0</v>
      </c>
    </row>
    <row r="46" spans="1:12" x14ac:dyDescent="0.2">
      <c r="A46" s="46" t="s">
        <v>10</v>
      </c>
      <c r="B46" s="49">
        <v>0</v>
      </c>
      <c r="C46" s="72">
        <v>0</v>
      </c>
      <c r="D46" s="72">
        <v>0</v>
      </c>
      <c r="E46" s="72">
        <v>0</v>
      </c>
      <c r="F46" s="72">
        <v>0</v>
      </c>
      <c r="G46" s="72">
        <v>0</v>
      </c>
      <c r="H46" s="72">
        <v>0</v>
      </c>
      <c r="I46" s="72">
        <v>0</v>
      </c>
      <c r="J46" s="72">
        <v>0</v>
      </c>
      <c r="K46" s="72">
        <v>0</v>
      </c>
      <c r="L46" s="29">
        <v>0</v>
      </c>
    </row>
    <row r="47" spans="1:12" x14ac:dyDescent="0.2">
      <c r="A47" s="46" t="s">
        <v>11</v>
      </c>
      <c r="B47" s="49">
        <v>0.13</v>
      </c>
      <c r="C47" s="72">
        <v>0.02</v>
      </c>
      <c r="D47" s="72">
        <v>0.19</v>
      </c>
      <c r="E47" s="72">
        <v>0.11</v>
      </c>
      <c r="F47" s="72">
        <v>0.08</v>
      </c>
      <c r="G47" s="72">
        <v>0.28999999999999998</v>
      </c>
      <c r="H47" s="72">
        <v>0.02</v>
      </c>
      <c r="I47" s="72">
        <v>0.09</v>
      </c>
      <c r="J47" s="72">
        <v>100</v>
      </c>
      <c r="K47" s="72">
        <v>100</v>
      </c>
      <c r="L47" s="29">
        <v>100</v>
      </c>
    </row>
    <row r="48" spans="1:12" x14ac:dyDescent="0.2">
      <c r="A48" s="46" t="s">
        <v>12</v>
      </c>
      <c r="B48" s="49">
        <v>100</v>
      </c>
      <c r="C48" s="72">
        <v>100</v>
      </c>
      <c r="D48" s="72">
        <v>100</v>
      </c>
      <c r="E48" s="72">
        <v>100</v>
      </c>
      <c r="F48" s="72">
        <v>100</v>
      </c>
      <c r="G48" s="72">
        <v>100</v>
      </c>
      <c r="H48" s="72">
        <v>100</v>
      </c>
      <c r="I48" s="72">
        <v>100</v>
      </c>
      <c r="J48" s="72">
        <v>100</v>
      </c>
      <c r="K48" s="72">
        <v>100</v>
      </c>
      <c r="L48" s="29">
        <v>100</v>
      </c>
    </row>
    <row r="49" spans="1:12" x14ac:dyDescent="0.2">
      <c r="A49" s="46" t="s">
        <v>13</v>
      </c>
      <c r="B49" s="49">
        <v>0</v>
      </c>
      <c r="C49" s="72">
        <v>0</v>
      </c>
      <c r="D49" s="72">
        <v>0.01</v>
      </c>
      <c r="E49" s="72">
        <v>90.72</v>
      </c>
      <c r="F49" s="72">
        <v>100</v>
      </c>
      <c r="G49" s="72">
        <v>100</v>
      </c>
      <c r="H49" s="72">
        <v>100</v>
      </c>
      <c r="I49" s="72">
        <v>100</v>
      </c>
      <c r="J49" s="72">
        <v>100</v>
      </c>
      <c r="K49" s="72">
        <v>100</v>
      </c>
      <c r="L49" s="29">
        <v>100</v>
      </c>
    </row>
    <row r="50" spans="1:12" x14ac:dyDescent="0.2">
      <c r="A50" s="46" t="s">
        <v>14</v>
      </c>
      <c r="B50" s="49">
        <v>0</v>
      </c>
      <c r="C50" s="72">
        <v>0</v>
      </c>
      <c r="D50" s="72">
        <v>0</v>
      </c>
      <c r="E50" s="72">
        <v>0</v>
      </c>
      <c r="F50" s="72">
        <v>0</v>
      </c>
      <c r="G50" s="72">
        <v>0</v>
      </c>
      <c r="H50" s="72">
        <v>0</v>
      </c>
      <c r="I50" s="72">
        <v>0</v>
      </c>
      <c r="J50" s="72">
        <v>0</v>
      </c>
      <c r="K50" s="72">
        <v>0</v>
      </c>
      <c r="L50" s="29">
        <v>0</v>
      </c>
    </row>
    <row r="51" spans="1:12" x14ac:dyDescent="0.2">
      <c r="A51" s="46" t="s">
        <v>15</v>
      </c>
      <c r="B51" s="49">
        <v>0</v>
      </c>
      <c r="C51" s="72">
        <v>0.04</v>
      </c>
      <c r="D51" s="72">
        <v>0</v>
      </c>
      <c r="E51" s="72">
        <v>0</v>
      </c>
      <c r="F51" s="72">
        <v>100</v>
      </c>
      <c r="G51" s="72">
        <v>100</v>
      </c>
      <c r="H51" s="72">
        <v>100</v>
      </c>
      <c r="I51" s="72">
        <v>100</v>
      </c>
      <c r="J51" s="72">
        <v>100</v>
      </c>
      <c r="K51" s="72">
        <v>100</v>
      </c>
      <c r="L51" s="29">
        <v>100</v>
      </c>
    </row>
    <row r="52" spans="1:12" x14ac:dyDescent="0.2">
      <c r="A52" s="46" t="s">
        <v>16</v>
      </c>
      <c r="B52" s="49">
        <v>0</v>
      </c>
      <c r="C52" s="72">
        <v>0</v>
      </c>
      <c r="D52" s="72">
        <v>0.01</v>
      </c>
      <c r="E52" s="72">
        <v>0</v>
      </c>
      <c r="F52" s="72">
        <v>0</v>
      </c>
      <c r="G52" s="72">
        <v>0</v>
      </c>
      <c r="H52" s="72">
        <v>0</v>
      </c>
      <c r="I52" s="72">
        <v>0</v>
      </c>
      <c r="J52" s="72">
        <v>0</v>
      </c>
      <c r="K52" s="72">
        <v>0</v>
      </c>
      <c r="L52" s="29">
        <v>0</v>
      </c>
    </row>
    <row r="53" spans="1:12" x14ac:dyDescent="0.2">
      <c r="A53" s="46" t="s">
        <v>17</v>
      </c>
      <c r="B53" s="49">
        <v>16.489999999999998</v>
      </c>
      <c r="C53" s="72">
        <v>87.75</v>
      </c>
      <c r="D53" s="72">
        <v>100</v>
      </c>
      <c r="E53" s="72">
        <v>100</v>
      </c>
      <c r="F53" s="72">
        <v>100</v>
      </c>
      <c r="G53" s="72">
        <v>100</v>
      </c>
      <c r="H53" s="72">
        <v>100</v>
      </c>
      <c r="I53" s="72">
        <v>100</v>
      </c>
      <c r="J53" s="72">
        <v>100</v>
      </c>
      <c r="K53" s="72">
        <v>100</v>
      </c>
      <c r="L53" s="29">
        <v>100</v>
      </c>
    </row>
    <row r="54" spans="1:12" ht="17" thickBot="1" x14ac:dyDescent="0.25">
      <c r="A54" s="48" t="s">
        <v>18</v>
      </c>
      <c r="B54" s="50">
        <v>0</v>
      </c>
      <c r="C54" s="31">
        <v>0</v>
      </c>
      <c r="D54" s="31">
        <v>0</v>
      </c>
      <c r="E54" s="31">
        <v>0</v>
      </c>
      <c r="F54" s="31">
        <v>0</v>
      </c>
      <c r="G54" s="31">
        <v>0</v>
      </c>
      <c r="H54" s="31">
        <v>0</v>
      </c>
      <c r="I54" s="31">
        <v>0</v>
      </c>
      <c r="J54" s="31">
        <v>0</v>
      </c>
      <c r="K54" s="31">
        <v>0</v>
      </c>
      <c r="L54" s="33">
        <v>0</v>
      </c>
    </row>
  </sheetData>
  <mergeCells count="5">
    <mergeCell ref="A1:A2"/>
    <mergeCell ref="B1:L1"/>
    <mergeCell ref="A8:A9"/>
    <mergeCell ref="B8:L8"/>
    <mergeCell ref="B15:L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Problem Statistics</vt:lpstr>
      <vt:lpstr>Average Stage Length</vt:lpstr>
      <vt:lpstr>LF Sensitivity</vt:lpstr>
      <vt:lpstr>Utilization Sensitivity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Eskenazi</dc:creator>
  <cp:lastModifiedBy>Andy Guido Eskenazi</cp:lastModifiedBy>
  <dcterms:created xsi:type="dcterms:W3CDTF">2025-11-06T14:31:53Z</dcterms:created>
  <dcterms:modified xsi:type="dcterms:W3CDTF">2026-03-15T15:14:20Z</dcterms:modified>
</cp:coreProperties>
</file>