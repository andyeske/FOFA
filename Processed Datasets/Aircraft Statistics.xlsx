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yeske/Desktop/Fall 2025/Optimization Methods/Project/Processed Datasets/"/>
    </mc:Choice>
  </mc:AlternateContent>
  <xr:revisionPtr revIDLastSave="0" documentId="13_ncr:1_{D189474D-165B-8E4F-89FD-946525CFA49A}" xr6:coauthVersionLast="47" xr6:coauthVersionMax="47" xr10:uidLastSave="{00000000-0000-0000-0000-000000000000}"/>
  <bookViews>
    <workbookView xWindow="0" yWindow="760" windowWidth="10000" windowHeight="17440" firstSheet="4" activeTab="4" xr2:uid="{1D525CA1-4A2B-564D-A885-570AD0F4254D}"/>
  </bookViews>
  <sheets>
    <sheet name="Performance" sheetId="1" r:id="rId1"/>
    <sheet name="Fuel Consumption" sheetId="2" r:id="rId2"/>
    <sheet name="Seat Capacity" sheetId="3" r:id="rId3"/>
    <sheet name="Total Departures (2024)" sheetId="4" r:id="rId4"/>
    <sheet name="Cumulative Flying Time (2024)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5" l="1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" i="5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" i="4"/>
</calcChain>
</file>

<file path=xl/sharedStrings.xml><?xml version="1.0" encoding="utf-8"?>
<sst xmlns="http://schemas.openxmlformats.org/spreadsheetml/2006/main" count="138" uniqueCount="31">
  <si>
    <t>A320NEO</t>
  </si>
  <si>
    <t>A321NEO</t>
  </si>
  <si>
    <t>A319CEO</t>
  </si>
  <si>
    <t>A320CEO</t>
  </si>
  <si>
    <t>A321CEO</t>
  </si>
  <si>
    <t>A330-200</t>
  </si>
  <si>
    <t>A330-900</t>
  </si>
  <si>
    <t>ATR42-500</t>
  </si>
  <si>
    <t>ATR72-500</t>
  </si>
  <si>
    <t>ATR72-600</t>
  </si>
  <si>
    <t>B737-8</t>
  </si>
  <si>
    <t>B737-300</t>
  </si>
  <si>
    <t>B737-500</t>
  </si>
  <si>
    <t>B737-700</t>
  </si>
  <si>
    <t>B737-800</t>
  </si>
  <si>
    <t>B787-9</t>
  </si>
  <si>
    <t>C208</t>
  </si>
  <si>
    <t>E195</t>
  </si>
  <si>
    <t>E195-E2</t>
  </si>
  <si>
    <t>Aircraft</t>
  </si>
  <si>
    <t>Take-off Length (m)</t>
  </si>
  <si>
    <t>0S</t>
  </si>
  <si>
    <t>2F</t>
  </si>
  <si>
    <t>2Z</t>
  </si>
  <si>
    <t>7M</t>
  </si>
  <si>
    <t>AD</t>
  </si>
  <si>
    <t>E4</t>
  </si>
  <si>
    <t>G3</t>
  </si>
  <si>
    <t>JJ</t>
  </si>
  <si>
    <t>RG</t>
  </si>
  <si>
    <t>Range (km)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</si>
</sst>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3" fontId="1" fillId="0" borderId="6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3" fontId="1" fillId="0" borderId="7" xfId="0" applyNumberFormat="1" applyFont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 vertical="center"/>
    </xf>
    <xf numFmtId="3" fontId="1" fillId="0" borderId="4" xfId="0" applyNumberFormat="1" applyFont="1" applyBorder="1" applyAlignment="1">
      <alignment horizontal="center" vertical="center" wrapText="1"/>
    </xf>
    <xf numFmtId="3" fontId="1" fillId="0" borderId="5" xfId="0" applyNumberFormat="1" applyFont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D28D7-31C8-B340-B7E8-E3CC0C8D41F3}">
  <dimension ref="A1:D43"/>
  <sheetViews>
    <sheetView zoomScale="167" zoomScaleNormal="144" workbookViewId="0"/>
  </sheetViews>
  <sheetFormatPr baseColWidth="10" defaultRowHeight="14" x14ac:dyDescent="0.2"/>
  <cols>
    <col min="1" max="1" width="13.33203125" style="3" customWidth="1"/>
    <col min="2" max="2" width="11.5" style="3" customWidth="1"/>
    <col min="3" max="3" width="19.83203125" style="3" customWidth="1"/>
    <col min="4" max="16384" width="10.83203125" style="3"/>
  </cols>
  <sheetData>
    <row r="1" spans="1:4" ht="16" customHeight="1" thickBot="1" x14ac:dyDescent="0.25">
      <c r="A1" s="10" t="s">
        <v>19</v>
      </c>
      <c r="B1" s="12" t="s">
        <v>30</v>
      </c>
      <c r="C1" s="11" t="s">
        <v>20</v>
      </c>
      <c r="D1" s="2"/>
    </row>
    <row r="2" spans="1:4" x14ac:dyDescent="0.2">
      <c r="A2" s="4" t="s">
        <v>0</v>
      </c>
      <c r="B2" s="13">
        <v>6300</v>
      </c>
      <c r="C2" s="7">
        <v>1700</v>
      </c>
    </row>
    <row r="3" spans="1:4" x14ac:dyDescent="0.2">
      <c r="A3" s="4" t="s">
        <v>1</v>
      </c>
      <c r="B3" s="13">
        <v>7400</v>
      </c>
      <c r="C3" s="7">
        <v>1900</v>
      </c>
    </row>
    <row r="4" spans="1:4" x14ac:dyDescent="0.2">
      <c r="A4" s="4" t="s">
        <v>2</v>
      </c>
      <c r="B4" s="13">
        <v>6950</v>
      </c>
      <c r="C4" s="7">
        <v>1200</v>
      </c>
    </row>
    <row r="5" spans="1:4" x14ac:dyDescent="0.2">
      <c r="A5" s="4" t="s">
        <v>3</v>
      </c>
      <c r="B5" s="13">
        <v>6200</v>
      </c>
      <c r="C5" s="7">
        <v>1200</v>
      </c>
    </row>
    <row r="6" spans="1:4" x14ac:dyDescent="0.2">
      <c r="A6" s="4" t="s">
        <v>4</v>
      </c>
      <c r="B6" s="13">
        <v>5950</v>
      </c>
      <c r="C6" s="7">
        <v>1900</v>
      </c>
    </row>
    <row r="7" spans="1:4" x14ac:dyDescent="0.2">
      <c r="A7" s="4" t="s">
        <v>5</v>
      </c>
      <c r="B7" s="13">
        <v>13400</v>
      </c>
      <c r="C7" s="7">
        <v>2400</v>
      </c>
    </row>
    <row r="8" spans="1:4" x14ac:dyDescent="0.2">
      <c r="A8" s="4" t="s">
        <v>6</v>
      </c>
      <c r="B8" s="13">
        <v>13600</v>
      </c>
      <c r="C8" s="7">
        <v>2900</v>
      </c>
    </row>
    <row r="9" spans="1:4" x14ac:dyDescent="0.2">
      <c r="A9" s="4" t="s">
        <v>7</v>
      </c>
      <c r="B9" s="13">
        <v>1300</v>
      </c>
      <c r="C9" s="7">
        <v>1000</v>
      </c>
    </row>
    <row r="10" spans="1:4" x14ac:dyDescent="0.2">
      <c r="A10" s="4" t="s">
        <v>8</v>
      </c>
      <c r="B10" s="13">
        <v>1500</v>
      </c>
      <c r="C10" s="7">
        <v>1000</v>
      </c>
    </row>
    <row r="11" spans="1:4" x14ac:dyDescent="0.2">
      <c r="A11" s="4" t="s">
        <v>9</v>
      </c>
      <c r="B11" s="13">
        <v>1750</v>
      </c>
      <c r="C11" s="7">
        <v>1000</v>
      </c>
    </row>
    <row r="12" spans="1:4" x14ac:dyDescent="0.2">
      <c r="A12" s="4" t="s">
        <v>10</v>
      </c>
      <c r="B12" s="13">
        <v>6500</v>
      </c>
      <c r="C12" s="7">
        <v>1700</v>
      </c>
    </row>
    <row r="13" spans="1:4" x14ac:dyDescent="0.2">
      <c r="A13" s="4" t="s">
        <v>11</v>
      </c>
      <c r="B13" s="13">
        <v>4600</v>
      </c>
      <c r="C13" s="7">
        <v>1500</v>
      </c>
    </row>
    <row r="14" spans="1:4" x14ac:dyDescent="0.2">
      <c r="A14" s="4" t="s">
        <v>12</v>
      </c>
      <c r="B14" s="13">
        <v>4600</v>
      </c>
      <c r="C14" s="7">
        <v>1500</v>
      </c>
    </row>
    <row r="15" spans="1:4" x14ac:dyDescent="0.2">
      <c r="A15" s="4" t="s">
        <v>13</v>
      </c>
      <c r="B15" s="13">
        <v>6100</v>
      </c>
      <c r="C15" s="7">
        <v>1200</v>
      </c>
    </row>
    <row r="16" spans="1:4" x14ac:dyDescent="0.2">
      <c r="A16" s="4" t="s">
        <v>14</v>
      </c>
      <c r="B16" s="13">
        <v>5800</v>
      </c>
      <c r="C16" s="7">
        <v>1200</v>
      </c>
    </row>
    <row r="17" spans="1:3" x14ac:dyDescent="0.2">
      <c r="A17" s="4" t="s">
        <v>15</v>
      </c>
      <c r="B17" s="13">
        <v>14000</v>
      </c>
      <c r="C17" s="7">
        <v>2900</v>
      </c>
    </row>
    <row r="18" spans="1:3" x14ac:dyDescent="0.2">
      <c r="A18" s="4" t="s">
        <v>16</v>
      </c>
      <c r="B18" s="13">
        <v>1950</v>
      </c>
      <c r="C18" s="8">
        <v>600</v>
      </c>
    </row>
    <row r="19" spans="1:3" x14ac:dyDescent="0.2">
      <c r="A19" s="4" t="s">
        <v>17</v>
      </c>
      <c r="B19" s="13">
        <v>3700</v>
      </c>
      <c r="C19" s="7">
        <v>1200</v>
      </c>
    </row>
    <row r="20" spans="1:3" ht="15" thickBot="1" x14ac:dyDescent="0.25">
      <c r="A20" s="5" t="s">
        <v>18</v>
      </c>
      <c r="B20" s="14">
        <v>4800</v>
      </c>
      <c r="C20" s="9">
        <v>1200</v>
      </c>
    </row>
    <row r="21" spans="1:3" x14ac:dyDescent="0.2">
      <c r="A21" s="1"/>
    </row>
    <row r="23" spans="1:3" x14ac:dyDescent="0.2">
      <c r="A23" s="6"/>
    </row>
    <row r="24" spans="1:3" x14ac:dyDescent="0.2">
      <c r="A24" s="6"/>
    </row>
    <row r="25" spans="1:3" x14ac:dyDescent="0.2">
      <c r="A25" s="1"/>
    </row>
    <row r="26" spans="1:3" x14ac:dyDescent="0.2">
      <c r="A26" s="1"/>
    </row>
    <row r="27" spans="1:3" x14ac:dyDescent="0.2">
      <c r="A27" s="1"/>
    </row>
    <row r="28" spans="1:3" x14ac:dyDescent="0.2">
      <c r="A28" s="1"/>
    </row>
    <row r="29" spans="1:3" x14ac:dyDescent="0.2">
      <c r="A29" s="1"/>
    </row>
    <row r="30" spans="1:3" x14ac:dyDescent="0.2">
      <c r="A30" s="1"/>
    </row>
    <row r="31" spans="1:3" x14ac:dyDescent="0.2">
      <c r="A31" s="1"/>
    </row>
    <row r="32" spans="1:3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  <row r="41" spans="1:1" x14ac:dyDescent="0.2">
      <c r="A41" s="1"/>
    </row>
    <row r="42" spans="1:1" x14ac:dyDescent="0.2">
      <c r="A42" s="1"/>
    </row>
    <row r="43" spans="1:1" x14ac:dyDescent="0.2">
      <c r="A43" s="1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68501-3C9D-3045-A196-2313D3F1CA41}">
  <dimension ref="A1:J20"/>
  <sheetViews>
    <sheetView zoomScale="125" workbookViewId="0">
      <selection activeCell="D27" sqref="D27"/>
    </sheetView>
  </sheetViews>
  <sheetFormatPr baseColWidth="10" defaultRowHeight="16" x14ac:dyDescent="0.2"/>
  <sheetData>
    <row r="1" spans="1:10" ht="17" thickBot="1" x14ac:dyDescent="0.25">
      <c r="A1" s="10" t="s">
        <v>19</v>
      </c>
      <c r="B1" s="33" t="s">
        <v>21</v>
      </c>
      <c r="C1" s="31" t="s">
        <v>22</v>
      </c>
      <c r="D1" s="31" t="s">
        <v>23</v>
      </c>
      <c r="E1" s="31" t="s">
        <v>24</v>
      </c>
      <c r="F1" s="31" t="s">
        <v>25</v>
      </c>
      <c r="G1" s="31" t="s">
        <v>26</v>
      </c>
      <c r="H1" s="31" t="s">
        <v>27</v>
      </c>
      <c r="I1" s="31" t="s">
        <v>28</v>
      </c>
      <c r="J1" s="32" t="s">
        <v>29</v>
      </c>
    </row>
    <row r="2" spans="1:10" x14ac:dyDescent="0.2">
      <c r="A2" s="4" t="s">
        <v>0</v>
      </c>
      <c r="B2" s="23">
        <v>0</v>
      </c>
      <c r="C2" s="25">
        <v>0</v>
      </c>
      <c r="D2" s="25">
        <v>0</v>
      </c>
      <c r="E2" s="25">
        <v>0</v>
      </c>
      <c r="F2" s="15">
        <v>4.04</v>
      </c>
      <c r="G2" s="25">
        <v>0</v>
      </c>
      <c r="H2" s="25">
        <v>0</v>
      </c>
      <c r="I2" s="15">
        <v>4.33</v>
      </c>
      <c r="J2" s="16">
        <v>4.0998392418752596</v>
      </c>
    </row>
    <row r="3" spans="1:10" x14ac:dyDescent="0.2">
      <c r="A3" s="4" t="s">
        <v>1</v>
      </c>
      <c r="B3" s="23">
        <v>0</v>
      </c>
      <c r="C3" s="25">
        <v>0</v>
      </c>
      <c r="D3" s="25">
        <v>0</v>
      </c>
      <c r="E3" s="25">
        <v>0</v>
      </c>
      <c r="F3" s="15">
        <v>4.26</v>
      </c>
      <c r="G3" s="25">
        <v>0</v>
      </c>
      <c r="H3" s="25">
        <v>0</v>
      </c>
      <c r="I3" s="15">
        <v>4.66</v>
      </c>
      <c r="J3" s="16">
        <v>4.4944850508089198</v>
      </c>
    </row>
    <row r="4" spans="1:10" x14ac:dyDescent="0.2">
      <c r="A4" s="4" t="s">
        <v>2</v>
      </c>
      <c r="B4" s="23">
        <v>0</v>
      </c>
      <c r="C4" s="25">
        <v>0</v>
      </c>
      <c r="D4" s="25">
        <v>0</v>
      </c>
      <c r="E4" s="25">
        <v>0</v>
      </c>
      <c r="F4" s="25">
        <v>0</v>
      </c>
      <c r="G4" s="25">
        <v>0</v>
      </c>
      <c r="H4" s="25">
        <v>0</v>
      </c>
      <c r="I4" s="15">
        <v>5.53</v>
      </c>
      <c r="J4" s="16">
        <v>5.5284545655832602</v>
      </c>
    </row>
    <row r="5" spans="1:10" x14ac:dyDescent="0.2">
      <c r="A5" s="4" t="s">
        <v>3</v>
      </c>
      <c r="B5" s="23">
        <v>0</v>
      </c>
      <c r="C5" s="25">
        <v>0</v>
      </c>
      <c r="D5" s="25">
        <v>0</v>
      </c>
      <c r="E5" s="25">
        <v>0</v>
      </c>
      <c r="F5" s="25">
        <v>0</v>
      </c>
      <c r="G5" s="25">
        <v>0</v>
      </c>
      <c r="H5" s="25">
        <v>0</v>
      </c>
      <c r="I5" s="15">
        <v>5.38</v>
      </c>
      <c r="J5" s="16">
        <v>5.3849167053568001</v>
      </c>
    </row>
    <row r="6" spans="1:10" x14ac:dyDescent="0.2">
      <c r="A6" s="4" t="s">
        <v>4</v>
      </c>
      <c r="B6" s="23">
        <v>0</v>
      </c>
      <c r="C6" s="25">
        <v>0</v>
      </c>
      <c r="D6" s="25">
        <v>0</v>
      </c>
      <c r="E6" s="25">
        <v>0</v>
      </c>
      <c r="F6" s="15">
        <v>5.48</v>
      </c>
      <c r="G6" s="25">
        <v>0</v>
      </c>
      <c r="H6" s="25">
        <v>0</v>
      </c>
      <c r="I6" s="15">
        <v>5.84</v>
      </c>
      <c r="J6" s="16">
        <v>5.8361901694012497</v>
      </c>
    </row>
    <row r="7" spans="1:10" x14ac:dyDescent="0.2">
      <c r="A7" s="4" t="s">
        <v>5</v>
      </c>
      <c r="B7" s="23">
        <v>0</v>
      </c>
      <c r="C7" s="25">
        <v>0</v>
      </c>
      <c r="D7" s="25">
        <v>0</v>
      </c>
      <c r="E7" s="25">
        <v>0</v>
      </c>
      <c r="F7" s="15">
        <v>8.8699999999999992</v>
      </c>
      <c r="G7" s="25">
        <v>0</v>
      </c>
      <c r="H7" s="25">
        <v>0</v>
      </c>
      <c r="I7" s="25">
        <v>0</v>
      </c>
      <c r="J7" s="16">
        <v>8.8653792043388098</v>
      </c>
    </row>
    <row r="8" spans="1:10" x14ac:dyDescent="0.2">
      <c r="A8" s="4" t="s">
        <v>6</v>
      </c>
      <c r="B8" s="23">
        <v>0</v>
      </c>
      <c r="C8" s="25">
        <v>0</v>
      </c>
      <c r="D8" s="25">
        <v>0</v>
      </c>
      <c r="E8" s="25">
        <v>0</v>
      </c>
      <c r="F8" s="15">
        <v>8.2799999999999994</v>
      </c>
      <c r="G8" s="25">
        <v>0</v>
      </c>
      <c r="H8" s="25">
        <v>0</v>
      </c>
      <c r="I8" s="25">
        <v>0</v>
      </c>
      <c r="J8" s="16">
        <v>8.2770708553761096</v>
      </c>
    </row>
    <row r="9" spans="1:10" x14ac:dyDescent="0.2">
      <c r="A9" s="4" t="s">
        <v>7</v>
      </c>
      <c r="B9" s="23">
        <v>0</v>
      </c>
      <c r="C9" s="25">
        <v>0</v>
      </c>
      <c r="D9" s="25">
        <v>0</v>
      </c>
      <c r="E9" s="15">
        <v>2.08</v>
      </c>
      <c r="F9" s="25">
        <v>0</v>
      </c>
      <c r="G9" s="25">
        <v>0</v>
      </c>
      <c r="H9" s="25">
        <v>0</v>
      </c>
      <c r="I9" s="25">
        <v>0</v>
      </c>
      <c r="J9" s="16">
        <v>2.0835714132991998</v>
      </c>
    </row>
    <row r="10" spans="1:10" x14ac:dyDescent="0.2">
      <c r="A10" s="4" t="s">
        <v>8</v>
      </c>
      <c r="B10" s="23">
        <v>0</v>
      </c>
      <c r="C10" s="25">
        <v>0</v>
      </c>
      <c r="D10" s="15">
        <v>2.48</v>
      </c>
      <c r="E10" s="15">
        <v>2.29</v>
      </c>
      <c r="F10" s="25">
        <v>0</v>
      </c>
      <c r="G10" s="25">
        <v>0</v>
      </c>
      <c r="H10" s="25">
        <v>0</v>
      </c>
      <c r="I10" s="25">
        <v>0</v>
      </c>
      <c r="J10" s="16">
        <v>2.4580254167778</v>
      </c>
    </row>
    <row r="11" spans="1:10" x14ac:dyDescent="0.2">
      <c r="A11" s="4" t="s">
        <v>9</v>
      </c>
      <c r="B11" s="23">
        <v>0</v>
      </c>
      <c r="C11" s="25">
        <v>0</v>
      </c>
      <c r="D11" s="15">
        <v>2.5299999999999998</v>
      </c>
      <c r="E11" s="25">
        <v>0</v>
      </c>
      <c r="F11" s="15">
        <v>2.39</v>
      </c>
      <c r="G11" s="25">
        <v>0</v>
      </c>
      <c r="H11" s="25">
        <v>0</v>
      </c>
      <c r="I11" s="25">
        <v>0</v>
      </c>
      <c r="J11" s="16">
        <v>2.39559146597054</v>
      </c>
    </row>
    <row r="12" spans="1:10" x14ac:dyDescent="0.2">
      <c r="A12" s="4" t="s">
        <v>10</v>
      </c>
      <c r="B12" s="23">
        <v>0</v>
      </c>
      <c r="C12" s="25">
        <v>0</v>
      </c>
      <c r="D12" s="25">
        <v>0</v>
      </c>
      <c r="E12" s="25">
        <v>0</v>
      </c>
      <c r="F12" s="25">
        <v>0</v>
      </c>
      <c r="G12" s="25">
        <v>0</v>
      </c>
      <c r="H12" s="15">
        <v>4.1100000000000003</v>
      </c>
      <c r="I12" s="25">
        <v>0</v>
      </c>
      <c r="J12" s="16">
        <v>4.1133371218358104</v>
      </c>
    </row>
    <row r="13" spans="1:10" x14ac:dyDescent="0.2">
      <c r="A13" s="4" t="s">
        <v>11</v>
      </c>
      <c r="B13" s="19">
        <v>4.45</v>
      </c>
      <c r="C13" s="25">
        <v>0</v>
      </c>
      <c r="D13" s="25">
        <v>0</v>
      </c>
      <c r="E13" s="25">
        <v>0</v>
      </c>
      <c r="F13" s="25">
        <v>0</v>
      </c>
      <c r="G13" s="25">
        <v>0</v>
      </c>
      <c r="H13" s="25">
        <v>0</v>
      </c>
      <c r="I13" s="25">
        <v>0</v>
      </c>
      <c r="J13" s="16">
        <v>4.4523551117864102</v>
      </c>
    </row>
    <row r="14" spans="1:10" x14ac:dyDescent="0.2">
      <c r="A14" s="4" t="s">
        <v>12</v>
      </c>
      <c r="B14" s="19">
        <v>4.8899999999999997</v>
      </c>
      <c r="C14" s="25">
        <v>0</v>
      </c>
      <c r="D14" s="25">
        <v>0</v>
      </c>
      <c r="E14" s="25">
        <v>0</v>
      </c>
      <c r="F14" s="25">
        <v>0</v>
      </c>
      <c r="G14" s="25">
        <v>0</v>
      </c>
      <c r="H14" s="25">
        <v>0</v>
      </c>
      <c r="I14" s="25">
        <v>0</v>
      </c>
      <c r="J14" s="16">
        <v>4.8920421957778704</v>
      </c>
    </row>
    <row r="15" spans="1:10" x14ac:dyDescent="0.2">
      <c r="A15" s="4" t="s">
        <v>13</v>
      </c>
      <c r="B15" s="23">
        <v>0</v>
      </c>
      <c r="C15" s="25">
        <v>0</v>
      </c>
      <c r="D15" s="25">
        <v>0</v>
      </c>
      <c r="E15" s="25">
        <v>0</v>
      </c>
      <c r="F15" s="25">
        <v>0</v>
      </c>
      <c r="G15" s="25">
        <v>0</v>
      </c>
      <c r="H15" s="15">
        <v>4.8499999999999996</v>
      </c>
      <c r="I15" s="25">
        <v>0</v>
      </c>
      <c r="J15" s="16">
        <v>4.8480982148687701</v>
      </c>
    </row>
    <row r="16" spans="1:10" x14ac:dyDescent="0.2">
      <c r="A16" s="4" t="s">
        <v>14</v>
      </c>
      <c r="B16" s="19">
        <v>5.12</v>
      </c>
      <c r="C16" s="25">
        <v>0</v>
      </c>
      <c r="D16" s="25">
        <v>0</v>
      </c>
      <c r="E16" s="25">
        <v>0</v>
      </c>
      <c r="F16" s="25">
        <v>0</v>
      </c>
      <c r="G16" s="25">
        <v>0</v>
      </c>
      <c r="H16" s="15">
        <v>4.92</v>
      </c>
      <c r="I16" s="25">
        <v>0</v>
      </c>
      <c r="J16" s="16">
        <v>4.9222713041267996</v>
      </c>
    </row>
    <row r="17" spans="1:10" x14ac:dyDescent="0.2">
      <c r="A17" s="4" t="s">
        <v>15</v>
      </c>
      <c r="B17" s="23">
        <v>0</v>
      </c>
      <c r="C17" s="25">
        <v>0</v>
      </c>
      <c r="D17" s="25">
        <v>0</v>
      </c>
      <c r="E17" s="25">
        <v>0</v>
      </c>
      <c r="F17" s="25">
        <v>0</v>
      </c>
      <c r="G17" s="25">
        <v>0</v>
      </c>
      <c r="H17" s="25">
        <v>0</v>
      </c>
      <c r="I17" s="15">
        <v>8.27</v>
      </c>
      <c r="J17" s="16">
        <v>8.2741148095950692</v>
      </c>
    </row>
    <row r="18" spans="1:10" x14ac:dyDescent="0.2">
      <c r="A18" s="4" t="s">
        <v>16</v>
      </c>
      <c r="B18" s="23">
        <v>0</v>
      </c>
      <c r="C18" s="15">
        <v>0.68</v>
      </c>
      <c r="D18" s="25">
        <v>0</v>
      </c>
      <c r="E18" s="25">
        <v>0</v>
      </c>
      <c r="F18" s="25">
        <v>0</v>
      </c>
      <c r="G18" s="15">
        <v>0.94</v>
      </c>
      <c r="H18" s="25">
        <v>0</v>
      </c>
      <c r="I18" s="25">
        <v>0</v>
      </c>
      <c r="J18" s="16">
        <v>0.68192401386746804</v>
      </c>
    </row>
    <row r="19" spans="1:10" x14ac:dyDescent="0.2">
      <c r="A19" s="4" t="s">
        <v>17</v>
      </c>
      <c r="B19" s="23">
        <v>0</v>
      </c>
      <c r="C19" s="25">
        <v>0</v>
      </c>
      <c r="D19" s="25">
        <v>0</v>
      </c>
      <c r="E19" s="25">
        <v>0</v>
      </c>
      <c r="F19" s="15">
        <v>5.16</v>
      </c>
      <c r="G19" s="15">
        <v>0</v>
      </c>
      <c r="H19" s="25">
        <v>0</v>
      </c>
      <c r="I19" s="25">
        <v>0</v>
      </c>
      <c r="J19" s="16">
        <v>5.1618834328483603</v>
      </c>
    </row>
    <row r="20" spans="1:10" ht="17" thickBot="1" x14ac:dyDescent="0.25">
      <c r="A20" s="5" t="s">
        <v>18</v>
      </c>
      <c r="B20" s="24">
        <v>0</v>
      </c>
      <c r="C20" s="26">
        <v>0</v>
      </c>
      <c r="D20" s="26">
        <v>0</v>
      </c>
      <c r="E20" s="26">
        <v>0</v>
      </c>
      <c r="F20" s="17">
        <v>3.77</v>
      </c>
      <c r="G20" s="17">
        <v>0</v>
      </c>
      <c r="H20" s="26">
        <v>0</v>
      </c>
      <c r="I20" s="26">
        <v>0</v>
      </c>
      <c r="J20" s="18">
        <v>3.7680752788641199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6F90E-FEEA-184D-A01E-3D15CFC3E40A}">
  <dimension ref="A1:J20"/>
  <sheetViews>
    <sheetView zoomScale="137" workbookViewId="0">
      <selection activeCell="C10" sqref="C10"/>
    </sheetView>
  </sheetViews>
  <sheetFormatPr baseColWidth="10" defaultRowHeight="16" x14ac:dyDescent="0.2"/>
  <sheetData>
    <row r="1" spans="1:10" ht="17" thickBot="1" x14ac:dyDescent="0.25">
      <c r="A1" s="10" t="s">
        <v>19</v>
      </c>
      <c r="B1" s="33" t="s">
        <v>21</v>
      </c>
      <c r="C1" s="31" t="s">
        <v>22</v>
      </c>
      <c r="D1" s="31" t="s">
        <v>23</v>
      </c>
      <c r="E1" s="31" t="s">
        <v>24</v>
      </c>
      <c r="F1" s="31" t="s">
        <v>25</v>
      </c>
      <c r="G1" s="31" t="s">
        <v>26</v>
      </c>
      <c r="H1" s="31" t="s">
        <v>27</v>
      </c>
      <c r="I1" s="31" t="s">
        <v>28</v>
      </c>
      <c r="J1" s="32" t="s">
        <v>29</v>
      </c>
    </row>
    <row r="2" spans="1:10" x14ac:dyDescent="0.2">
      <c r="A2" s="4" t="s">
        <v>0</v>
      </c>
      <c r="B2" s="34">
        <v>0</v>
      </c>
      <c r="C2" s="27">
        <v>0</v>
      </c>
      <c r="D2" s="27">
        <v>0</v>
      </c>
      <c r="E2" s="27">
        <v>0</v>
      </c>
      <c r="F2" s="27">
        <v>171</v>
      </c>
      <c r="G2" s="27">
        <v>0</v>
      </c>
      <c r="H2" s="27">
        <v>0</v>
      </c>
      <c r="I2" s="27">
        <v>174</v>
      </c>
      <c r="J2" s="28">
        <v>172</v>
      </c>
    </row>
    <row r="3" spans="1:10" x14ac:dyDescent="0.2">
      <c r="A3" s="4" t="s">
        <v>1</v>
      </c>
      <c r="B3" s="34">
        <v>0</v>
      </c>
      <c r="C3" s="27">
        <v>0</v>
      </c>
      <c r="D3" s="27">
        <v>0</v>
      </c>
      <c r="E3" s="27">
        <v>0</v>
      </c>
      <c r="F3" s="27">
        <v>214</v>
      </c>
      <c r="G3" s="27">
        <v>0</v>
      </c>
      <c r="H3" s="27">
        <v>0</v>
      </c>
      <c r="I3" s="27">
        <v>218</v>
      </c>
      <c r="J3" s="28">
        <v>217</v>
      </c>
    </row>
    <row r="4" spans="1:10" x14ac:dyDescent="0.2">
      <c r="A4" s="4" t="s">
        <v>2</v>
      </c>
      <c r="B4" s="34">
        <v>0</v>
      </c>
      <c r="C4" s="27">
        <v>0</v>
      </c>
      <c r="D4" s="27">
        <v>0</v>
      </c>
      <c r="E4" s="27">
        <v>0</v>
      </c>
      <c r="F4" s="27">
        <v>0</v>
      </c>
      <c r="G4" s="27">
        <v>0</v>
      </c>
      <c r="H4" s="27">
        <v>0</v>
      </c>
      <c r="I4" s="27">
        <v>138</v>
      </c>
      <c r="J4" s="28">
        <v>138</v>
      </c>
    </row>
    <row r="5" spans="1:10" x14ac:dyDescent="0.2">
      <c r="A5" s="4" t="s">
        <v>3</v>
      </c>
      <c r="B5" s="34">
        <v>0</v>
      </c>
      <c r="C5" s="27">
        <v>0</v>
      </c>
      <c r="D5" s="27">
        <v>0</v>
      </c>
      <c r="E5" s="27">
        <v>0</v>
      </c>
      <c r="F5" s="27">
        <v>0</v>
      </c>
      <c r="G5" s="27">
        <v>0</v>
      </c>
      <c r="H5" s="27">
        <v>0</v>
      </c>
      <c r="I5" s="27">
        <v>174</v>
      </c>
      <c r="J5" s="28">
        <v>174</v>
      </c>
    </row>
    <row r="6" spans="1:10" x14ac:dyDescent="0.2">
      <c r="A6" s="4" t="s">
        <v>4</v>
      </c>
      <c r="B6" s="34">
        <v>0</v>
      </c>
      <c r="C6" s="27">
        <v>0</v>
      </c>
      <c r="D6" s="27">
        <v>0</v>
      </c>
      <c r="E6" s="27">
        <v>0</v>
      </c>
      <c r="F6" s="27">
        <v>0</v>
      </c>
      <c r="G6" s="27">
        <v>0</v>
      </c>
      <c r="H6" s="27">
        <v>0</v>
      </c>
      <c r="I6" s="27">
        <v>218</v>
      </c>
      <c r="J6" s="28">
        <v>218</v>
      </c>
    </row>
    <row r="7" spans="1:10" x14ac:dyDescent="0.2">
      <c r="A7" s="4" t="s">
        <v>5</v>
      </c>
      <c r="B7" s="34">
        <v>0</v>
      </c>
      <c r="C7" s="27">
        <v>0</v>
      </c>
      <c r="D7" s="27">
        <v>0</v>
      </c>
      <c r="E7" s="27">
        <v>0</v>
      </c>
      <c r="F7" s="27">
        <v>238</v>
      </c>
      <c r="G7" s="27">
        <v>0</v>
      </c>
      <c r="H7" s="27">
        <v>0</v>
      </c>
      <c r="I7" s="27">
        <v>0</v>
      </c>
      <c r="J7" s="28">
        <v>238</v>
      </c>
    </row>
    <row r="8" spans="1:10" x14ac:dyDescent="0.2">
      <c r="A8" s="4" t="s">
        <v>6</v>
      </c>
      <c r="B8" s="34">
        <v>0</v>
      </c>
      <c r="C8" s="27">
        <v>0</v>
      </c>
      <c r="D8" s="27">
        <v>0</v>
      </c>
      <c r="E8" s="27">
        <v>0</v>
      </c>
      <c r="F8" s="27">
        <v>299</v>
      </c>
      <c r="G8" s="27">
        <v>0</v>
      </c>
      <c r="H8" s="27">
        <v>0</v>
      </c>
      <c r="I8" s="27">
        <v>0</v>
      </c>
      <c r="J8" s="28">
        <v>299</v>
      </c>
    </row>
    <row r="9" spans="1:10" x14ac:dyDescent="0.2">
      <c r="A9" s="4" t="s">
        <v>7</v>
      </c>
      <c r="B9" s="34">
        <v>0</v>
      </c>
      <c r="C9" s="27">
        <v>0</v>
      </c>
      <c r="D9" s="27">
        <v>0</v>
      </c>
      <c r="E9" s="27">
        <v>46</v>
      </c>
      <c r="F9" s="27">
        <v>0</v>
      </c>
      <c r="G9" s="27">
        <v>0</v>
      </c>
      <c r="H9" s="27">
        <v>0</v>
      </c>
      <c r="I9" s="27">
        <v>0</v>
      </c>
      <c r="J9" s="28">
        <v>46</v>
      </c>
    </row>
    <row r="10" spans="1:10" x14ac:dyDescent="0.2">
      <c r="A10" s="4" t="s">
        <v>8</v>
      </c>
      <c r="B10" s="34">
        <v>0</v>
      </c>
      <c r="C10" s="27">
        <v>0</v>
      </c>
      <c r="D10" s="27">
        <v>68</v>
      </c>
      <c r="E10" s="27">
        <v>70</v>
      </c>
      <c r="F10" s="27">
        <v>0</v>
      </c>
      <c r="G10" s="27">
        <v>0</v>
      </c>
      <c r="H10" s="27">
        <v>0</v>
      </c>
      <c r="I10" s="27">
        <v>0</v>
      </c>
      <c r="J10" s="28">
        <v>68</v>
      </c>
    </row>
    <row r="11" spans="1:10" x14ac:dyDescent="0.2">
      <c r="A11" s="4" t="s">
        <v>9</v>
      </c>
      <c r="B11" s="34">
        <v>0</v>
      </c>
      <c r="C11" s="27">
        <v>0</v>
      </c>
      <c r="D11" s="27">
        <v>69</v>
      </c>
      <c r="E11" s="27">
        <v>0</v>
      </c>
      <c r="F11" s="27">
        <v>69</v>
      </c>
      <c r="G11" s="27">
        <v>0</v>
      </c>
      <c r="H11" s="27">
        <v>0</v>
      </c>
      <c r="I11" s="27">
        <v>0</v>
      </c>
      <c r="J11" s="28">
        <v>69</v>
      </c>
    </row>
    <row r="12" spans="1:10" x14ac:dyDescent="0.2">
      <c r="A12" s="4" t="s">
        <v>10</v>
      </c>
      <c r="B12" s="34">
        <v>0</v>
      </c>
      <c r="C12" s="27">
        <v>0</v>
      </c>
      <c r="D12" s="27">
        <v>0</v>
      </c>
      <c r="E12" s="27">
        <v>0</v>
      </c>
      <c r="F12" s="27">
        <v>0</v>
      </c>
      <c r="G12" s="27">
        <v>0</v>
      </c>
      <c r="H12" s="27">
        <v>184</v>
      </c>
      <c r="I12" s="27">
        <v>0</v>
      </c>
      <c r="J12" s="28">
        <v>184</v>
      </c>
    </row>
    <row r="13" spans="1:10" x14ac:dyDescent="0.2">
      <c r="A13" s="4" t="s">
        <v>11</v>
      </c>
      <c r="B13" s="34">
        <v>138</v>
      </c>
      <c r="C13" s="27">
        <v>0</v>
      </c>
      <c r="D13" s="27">
        <v>0</v>
      </c>
      <c r="E13" s="27">
        <v>0</v>
      </c>
      <c r="F13" s="27">
        <v>0</v>
      </c>
      <c r="G13" s="27">
        <v>0</v>
      </c>
      <c r="H13" s="27">
        <v>0</v>
      </c>
      <c r="I13" s="27">
        <v>0</v>
      </c>
      <c r="J13" s="28">
        <v>138</v>
      </c>
    </row>
    <row r="14" spans="1:10" x14ac:dyDescent="0.2">
      <c r="A14" s="4" t="s">
        <v>12</v>
      </c>
      <c r="B14" s="34">
        <v>52</v>
      </c>
      <c r="C14" s="27">
        <v>0</v>
      </c>
      <c r="D14" s="27">
        <v>0</v>
      </c>
      <c r="E14" s="27">
        <v>0</v>
      </c>
      <c r="F14" s="27">
        <v>0</v>
      </c>
      <c r="G14" s="27">
        <v>0</v>
      </c>
      <c r="H14" s="27">
        <v>0</v>
      </c>
      <c r="I14" s="27">
        <v>0</v>
      </c>
      <c r="J14" s="28">
        <v>52</v>
      </c>
    </row>
    <row r="15" spans="1:10" x14ac:dyDescent="0.2">
      <c r="A15" s="4" t="s">
        <v>13</v>
      </c>
      <c r="B15" s="34">
        <v>0</v>
      </c>
      <c r="C15" s="27">
        <v>0</v>
      </c>
      <c r="D15" s="27">
        <v>0</v>
      </c>
      <c r="E15" s="27">
        <v>0</v>
      </c>
      <c r="F15" s="27">
        <v>0</v>
      </c>
      <c r="G15" s="27">
        <v>0</v>
      </c>
      <c r="H15" s="27">
        <v>137</v>
      </c>
      <c r="I15" s="27">
        <v>0</v>
      </c>
      <c r="J15" s="28">
        <v>137</v>
      </c>
    </row>
    <row r="16" spans="1:10" x14ac:dyDescent="0.2">
      <c r="A16" s="4" t="s">
        <v>14</v>
      </c>
      <c r="B16" s="34">
        <v>182</v>
      </c>
      <c r="C16" s="27">
        <v>0</v>
      </c>
      <c r="D16" s="27">
        <v>0</v>
      </c>
      <c r="E16" s="27">
        <v>0</v>
      </c>
      <c r="F16" s="27">
        <v>0</v>
      </c>
      <c r="G16" s="27">
        <v>0</v>
      </c>
      <c r="H16" s="27">
        <v>181</v>
      </c>
      <c r="I16" s="27">
        <v>0</v>
      </c>
      <c r="J16" s="28">
        <v>181</v>
      </c>
    </row>
    <row r="17" spans="1:10" x14ac:dyDescent="0.2">
      <c r="A17" s="4" t="s">
        <v>15</v>
      </c>
      <c r="B17" s="34">
        <v>0</v>
      </c>
      <c r="C17" s="27">
        <v>0</v>
      </c>
      <c r="D17" s="27">
        <v>0</v>
      </c>
      <c r="E17" s="27">
        <v>0</v>
      </c>
      <c r="F17" s="27">
        <v>0</v>
      </c>
      <c r="G17" s="27">
        <v>0</v>
      </c>
      <c r="H17" s="27">
        <v>0</v>
      </c>
      <c r="I17" s="27">
        <v>298</v>
      </c>
      <c r="J17" s="28">
        <v>298</v>
      </c>
    </row>
    <row r="18" spans="1:10" x14ac:dyDescent="0.2">
      <c r="A18" s="4" t="s">
        <v>16</v>
      </c>
      <c r="B18" s="34">
        <v>0</v>
      </c>
      <c r="C18" s="27">
        <v>7</v>
      </c>
      <c r="D18" s="27">
        <v>0</v>
      </c>
      <c r="E18" s="27">
        <v>0</v>
      </c>
      <c r="F18" s="27">
        <v>0</v>
      </c>
      <c r="G18" s="27">
        <v>9</v>
      </c>
      <c r="H18" s="27">
        <v>0</v>
      </c>
      <c r="I18" s="27">
        <v>0</v>
      </c>
      <c r="J18" s="28">
        <v>7</v>
      </c>
    </row>
    <row r="19" spans="1:10" x14ac:dyDescent="0.2">
      <c r="A19" s="4" t="s">
        <v>17</v>
      </c>
      <c r="B19" s="34">
        <v>0</v>
      </c>
      <c r="C19" s="27">
        <v>0</v>
      </c>
      <c r="D19" s="27">
        <v>0</v>
      </c>
      <c r="E19" s="27">
        <v>0</v>
      </c>
      <c r="F19" s="27">
        <v>116</v>
      </c>
      <c r="G19" s="27">
        <v>0</v>
      </c>
      <c r="H19" s="27">
        <v>0</v>
      </c>
      <c r="I19" s="27">
        <v>0</v>
      </c>
      <c r="J19" s="28">
        <v>116</v>
      </c>
    </row>
    <row r="20" spans="1:10" ht="17" thickBot="1" x14ac:dyDescent="0.25">
      <c r="A20" s="5" t="s">
        <v>18</v>
      </c>
      <c r="B20" s="35">
        <v>0</v>
      </c>
      <c r="C20" s="29">
        <v>0</v>
      </c>
      <c r="D20" s="29">
        <v>0</v>
      </c>
      <c r="E20" s="29">
        <v>0</v>
      </c>
      <c r="F20" s="29">
        <v>135</v>
      </c>
      <c r="G20" s="29">
        <v>0</v>
      </c>
      <c r="H20" s="29">
        <v>0</v>
      </c>
      <c r="I20" s="29">
        <v>0</v>
      </c>
      <c r="J20" s="30">
        <v>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A616D-C1EF-B844-8DC5-C6FB004F60EC}">
  <dimension ref="A1:J20"/>
  <sheetViews>
    <sheetView workbookViewId="0">
      <selection activeCell="E35" sqref="E35"/>
    </sheetView>
  </sheetViews>
  <sheetFormatPr baseColWidth="10" defaultRowHeight="16" x14ac:dyDescent="0.2"/>
  <sheetData>
    <row r="1" spans="1:10" ht="17" thickBot="1" x14ac:dyDescent="0.25">
      <c r="A1" s="10" t="s">
        <v>19</v>
      </c>
      <c r="B1" s="33" t="s">
        <v>21</v>
      </c>
      <c r="C1" s="31" t="s">
        <v>22</v>
      </c>
      <c r="D1" s="31" t="s">
        <v>23</v>
      </c>
      <c r="E1" s="31" t="s">
        <v>24</v>
      </c>
      <c r="F1" s="31" t="s">
        <v>25</v>
      </c>
      <c r="G1" s="31" t="s">
        <v>26</v>
      </c>
      <c r="H1" s="31" t="s">
        <v>27</v>
      </c>
      <c r="I1" s="31" t="s">
        <v>28</v>
      </c>
      <c r="J1" s="32" t="s">
        <v>29</v>
      </c>
    </row>
    <row r="2" spans="1:10" x14ac:dyDescent="0.2">
      <c r="A2" s="4" t="s">
        <v>0</v>
      </c>
      <c r="B2" s="34">
        <v>0</v>
      </c>
      <c r="C2" s="27">
        <v>0</v>
      </c>
      <c r="D2" s="27">
        <v>0</v>
      </c>
      <c r="E2" s="27">
        <v>0</v>
      </c>
      <c r="F2" s="27">
        <v>91677</v>
      </c>
      <c r="G2" s="27">
        <v>0</v>
      </c>
      <c r="H2" s="27">
        <v>0</v>
      </c>
      <c r="I2" s="27">
        <v>27798</v>
      </c>
      <c r="J2" s="28">
        <f>SUM(B2:I2)</f>
        <v>119475</v>
      </c>
    </row>
    <row r="3" spans="1:10" x14ac:dyDescent="0.2">
      <c r="A3" s="4" t="s">
        <v>1</v>
      </c>
      <c r="B3" s="34">
        <v>0</v>
      </c>
      <c r="C3" s="27">
        <v>0</v>
      </c>
      <c r="D3" s="27">
        <v>0</v>
      </c>
      <c r="E3" s="27">
        <v>0</v>
      </c>
      <c r="F3" s="27">
        <v>9789</v>
      </c>
      <c r="G3" s="27">
        <v>0</v>
      </c>
      <c r="H3" s="27">
        <v>0</v>
      </c>
      <c r="I3" s="27">
        <v>20222</v>
      </c>
      <c r="J3" s="28">
        <f t="shared" ref="J3:J20" si="0">SUM(B3:I3)</f>
        <v>30011</v>
      </c>
    </row>
    <row r="4" spans="1:10" x14ac:dyDescent="0.2">
      <c r="A4" s="4" t="s">
        <v>2</v>
      </c>
      <c r="B4" s="34">
        <v>0</v>
      </c>
      <c r="C4" s="27">
        <v>0</v>
      </c>
      <c r="D4" s="27">
        <v>0</v>
      </c>
      <c r="E4" s="27">
        <v>0</v>
      </c>
      <c r="F4" s="27">
        <v>0</v>
      </c>
      <c r="G4" s="27">
        <v>0</v>
      </c>
      <c r="H4" s="27">
        <v>0</v>
      </c>
      <c r="I4" s="27">
        <v>43728</v>
      </c>
      <c r="J4" s="28">
        <f t="shared" si="0"/>
        <v>43728</v>
      </c>
    </row>
    <row r="5" spans="1:10" x14ac:dyDescent="0.2">
      <c r="A5" s="4" t="s">
        <v>3</v>
      </c>
      <c r="B5" s="34">
        <v>0</v>
      </c>
      <c r="C5" s="27">
        <v>0</v>
      </c>
      <c r="D5" s="27">
        <v>0</v>
      </c>
      <c r="E5" s="27">
        <v>0</v>
      </c>
      <c r="F5" s="27">
        <v>0</v>
      </c>
      <c r="G5" s="27">
        <v>0</v>
      </c>
      <c r="H5" s="27">
        <v>0</v>
      </c>
      <c r="I5" s="27">
        <v>104454</v>
      </c>
      <c r="J5" s="28">
        <f t="shared" si="0"/>
        <v>104454</v>
      </c>
    </row>
    <row r="6" spans="1:10" x14ac:dyDescent="0.2">
      <c r="A6" s="4" t="s">
        <v>4</v>
      </c>
      <c r="B6" s="34">
        <v>0</v>
      </c>
      <c r="C6" s="27">
        <v>0</v>
      </c>
      <c r="D6" s="27">
        <v>0</v>
      </c>
      <c r="E6" s="27">
        <v>0</v>
      </c>
      <c r="F6" s="27">
        <v>1</v>
      </c>
      <c r="G6" s="27">
        <v>0</v>
      </c>
      <c r="H6" s="27">
        <v>0</v>
      </c>
      <c r="I6" s="27">
        <v>43190</v>
      </c>
      <c r="J6" s="28">
        <f t="shared" si="0"/>
        <v>43191</v>
      </c>
    </row>
    <row r="7" spans="1:10" x14ac:dyDescent="0.2">
      <c r="A7" s="4" t="s">
        <v>5</v>
      </c>
      <c r="B7" s="34">
        <v>0</v>
      </c>
      <c r="C7" s="27">
        <v>0</v>
      </c>
      <c r="D7" s="27">
        <v>0</v>
      </c>
      <c r="E7" s="27">
        <v>0</v>
      </c>
      <c r="F7" s="27">
        <v>44</v>
      </c>
      <c r="G7" s="27">
        <v>0</v>
      </c>
      <c r="H7" s="27">
        <v>0</v>
      </c>
      <c r="I7" s="27">
        <v>0</v>
      </c>
      <c r="J7" s="28">
        <f t="shared" si="0"/>
        <v>44</v>
      </c>
    </row>
    <row r="8" spans="1:10" x14ac:dyDescent="0.2">
      <c r="A8" s="4" t="s">
        <v>6</v>
      </c>
      <c r="B8" s="34">
        <v>0</v>
      </c>
      <c r="C8" s="27">
        <v>0</v>
      </c>
      <c r="D8" s="27">
        <v>0</v>
      </c>
      <c r="E8" s="27">
        <v>0</v>
      </c>
      <c r="F8" s="27">
        <v>94</v>
      </c>
      <c r="G8" s="27">
        <v>0</v>
      </c>
      <c r="H8" s="27">
        <v>0</v>
      </c>
      <c r="I8" s="27">
        <v>0</v>
      </c>
      <c r="J8" s="28">
        <f t="shared" si="0"/>
        <v>94</v>
      </c>
    </row>
    <row r="9" spans="1:10" x14ac:dyDescent="0.2">
      <c r="A9" s="4" t="s">
        <v>7</v>
      </c>
      <c r="B9" s="34">
        <v>0</v>
      </c>
      <c r="C9" s="27">
        <v>0</v>
      </c>
      <c r="D9" s="27">
        <v>0</v>
      </c>
      <c r="E9" s="27">
        <v>2363</v>
      </c>
      <c r="F9" s="27">
        <v>0</v>
      </c>
      <c r="G9" s="27">
        <v>0</v>
      </c>
      <c r="H9" s="27">
        <v>0</v>
      </c>
      <c r="I9" s="27">
        <v>0</v>
      </c>
      <c r="J9" s="28">
        <f t="shared" si="0"/>
        <v>2363</v>
      </c>
    </row>
    <row r="10" spans="1:10" x14ac:dyDescent="0.2">
      <c r="A10" s="4" t="s">
        <v>8</v>
      </c>
      <c r="B10" s="34">
        <v>0</v>
      </c>
      <c r="C10" s="27">
        <v>0</v>
      </c>
      <c r="D10" s="27">
        <v>12106</v>
      </c>
      <c r="E10" s="27">
        <v>1194</v>
      </c>
      <c r="F10" s="27">
        <v>0</v>
      </c>
      <c r="G10" s="27">
        <v>0</v>
      </c>
      <c r="H10" s="27">
        <v>0</v>
      </c>
      <c r="I10" s="27">
        <v>0</v>
      </c>
      <c r="J10" s="28">
        <f t="shared" si="0"/>
        <v>13300</v>
      </c>
    </row>
    <row r="11" spans="1:10" x14ac:dyDescent="0.2">
      <c r="A11" s="4" t="s">
        <v>9</v>
      </c>
      <c r="B11" s="34">
        <v>0</v>
      </c>
      <c r="C11" s="27">
        <v>0</v>
      </c>
      <c r="D11" s="27">
        <v>3357</v>
      </c>
      <c r="E11" s="27">
        <v>0</v>
      </c>
      <c r="F11" s="27">
        <v>64827</v>
      </c>
      <c r="G11" s="27">
        <v>0</v>
      </c>
      <c r="H11" s="27">
        <v>0</v>
      </c>
      <c r="I11" s="27">
        <v>0</v>
      </c>
      <c r="J11" s="28">
        <f t="shared" si="0"/>
        <v>68184</v>
      </c>
    </row>
    <row r="12" spans="1:10" x14ac:dyDescent="0.2">
      <c r="A12" s="4" t="s">
        <v>10</v>
      </c>
      <c r="B12" s="34">
        <v>0</v>
      </c>
      <c r="C12" s="27">
        <v>0</v>
      </c>
      <c r="D12" s="27">
        <v>0</v>
      </c>
      <c r="E12" s="27">
        <v>0</v>
      </c>
      <c r="F12" s="27">
        <v>0</v>
      </c>
      <c r="G12" s="27">
        <v>0</v>
      </c>
      <c r="H12" s="27">
        <v>76381</v>
      </c>
      <c r="I12" s="27">
        <v>0</v>
      </c>
      <c r="J12" s="28">
        <f t="shared" si="0"/>
        <v>76381</v>
      </c>
    </row>
    <row r="13" spans="1:10" x14ac:dyDescent="0.2">
      <c r="A13" s="4" t="s">
        <v>11</v>
      </c>
      <c r="B13" s="34">
        <v>111</v>
      </c>
      <c r="C13" s="27">
        <v>0</v>
      </c>
      <c r="D13" s="27">
        <v>0</v>
      </c>
      <c r="E13" s="27">
        <v>0</v>
      </c>
      <c r="F13" s="27">
        <v>0</v>
      </c>
      <c r="G13" s="27">
        <v>0</v>
      </c>
      <c r="H13" s="27">
        <v>0</v>
      </c>
      <c r="I13" s="27">
        <v>0</v>
      </c>
      <c r="J13" s="28">
        <f t="shared" si="0"/>
        <v>111</v>
      </c>
    </row>
    <row r="14" spans="1:10" x14ac:dyDescent="0.2">
      <c r="A14" s="4" t="s">
        <v>12</v>
      </c>
      <c r="B14" s="34">
        <v>224</v>
      </c>
      <c r="C14" s="27">
        <v>0</v>
      </c>
      <c r="D14" s="27">
        <v>0</v>
      </c>
      <c r="E14" s="27">
        <v>0</v>
      </c>
      <c r="F14" s="27">
        <v>0</v>
      </c>
      <c r="G14" s="27">
        <v>0</v>
      </c>
      <c r="H14" s="27">
        <v>0</v>
      </c>
      <c r="I14" s="27">
        <v>0</v>
      </c>
      <c r="J14" s="28">
        <f t="shared" si="0"/>
        <v>224</v>
      </c>
    </row>
    <row r="15" spans="1:10" x14ac:dyDescent="0.2">
      <c r="A15" s="4" t="s">
        <v>13</v>
      </c>
      <c r="B15" s="34">
        <v>0</v>
      </c>
      <c r="C15" s="27">
        <v>0</v>
      </c>
      <c r="D15" s="27">
        <v>0</v>
      </c>
      <c r="E15" s="27">
        <v>0</v>
      </c>
      <c r="F15" s="27">
        <v>0</v>
      </c>
      <c r="G15" s="27">
        <v>0</v>
      </c>
      <c r="H15" s="27">
        <v>25967</v>
      </c>
      <c r="I15" s="27">
        <v>0</v>
      </c>
      <c r="J15" s="28">
        <f t="shared" si="0"/>
        <v>25967</v>
      </c>
    </row>
    <row r="16" spans="1:10" x14ac:dyDescent="0.2">
      <c r="A16" s="4" t="s">
        <v>14</v>
      </c>
      <c r="B16" s="34">
        <v>130</v>
      </c>
      <c r="C16" s="27">
        <v>0</v>
      </c>
      <c r="D16" s="27">
        <v>0</v>
      </c>
      <c r="E16" s="27">
        <v>0</v>
      </c>
      <c r="F16" s="27">
        <v>0</v>
      </c>
      <c r="G16" s="27">
        <v>0</v>
      </c>
      <c r="H16" s="27">
        <v>96216</v>
      </c>
      <c r="I16" s="27">
        <v>0</v>
      </c>
      <c r="J16" s="28">
        <f t="shared" si="0"/>
        <v>96346</v>
      </c>
    </row>
    <row r="17" spans="1:10" x14ac:dyDescent="0.2">
      <c r="A17" s="4" t="s">
        <v>15</v>
      </c>
      <c r="B17" s="34">
        <v>0</v>
      </c>
      <c r="C17" s="27">
        <v>0</v>
      </c>
      <c r="D17" s="27">
        <v>0</v>
      </c>
      <c r="E17" s="27">
        <v>0</v>
      </c>
      <c r="F17" s="27">
        <v>0</v>
      </c>
      <c r="G17" s="27">
        <v>0</v>
      </c>
      <c r="H17" s="27">
        <v>0</v>
      </c>
      <c r="I17" s="27">
        <v>314</v>
      </c>
      <c r="J17" s="28">
        <f t="shared" si="0"/>
        <v>314</v>
      </c>
    </row>
    <row r="18" spans="1:10" x14ac:dyDescent="0.2">
      <c r="A18" s="4" t="s">
        <v>16</v>
      </c>
      <c r="B18" s="34">
        <v>0</v>
      </c>
      <c r="C18" s="27">
        <v>19301</v>
      </c>
      <c r="D18" s="27">
        <v>0</v>
      </c>
      <c r="E18" s="27">
        <v>0</v>
      </c>
      <c r="F18" s="27">
        <v>0</v>
      </c>
      <c r="G18" s="27">
        <v>951</v>
      </c>
      <c r="H18" s="27">
        <v>0</v>
      </c>
      <c r="I18" s="27">
        <v>0</v>
      </c>
      <c r="J18" s="28">
        <f t="shared" si="0"/>
        <v>20252</v>
      </c>
    </row>
    <row r="19" spans="1:10" x14ac:dyDescent="0.2">
      <c r="A19" s="4" t="s">
        <v>17</v>
      </c>
      <c r="B19" s="34">
        <v>0</v>
      </c>
      <c r="C19" s="27">
        <v>0</v>
      </c>
      <c r="D19" s="27">
        <v>0</v>
      </c>
      <c r="E19" s="27">
        <v>0</v>
      </c>
      <c r="F19" s="27">
        <v>73626</v>
      </c>
      <c r="G19" s="27">
        <v>0</v>
      </c>
      <c r="H19" s="27">
        <v>0</v>
      </c>
      <c r="I19" s="27">
        <v>0</v>
      </c>
      <c r="J19" s="28">
        <f t="shared" si="0"/>
        <v>73626</v>
      </c>
    </row>
    <row r="20" spans="1:10" ht="17" thickBot="1" x14ac:dyDescent="0.25">
      <c r="A20" s="5" t="s">
        <v>18</v>
      </c>
      <c r="B20" s="35">
        <v>0</v>
      </c>
      <c r="C20" s="29">
        <v>0</v>
      </c>
      <c r="D20" s="29">
        <v>0</v>
      </c>
      <c r="E20" s="29">
        <v>0</v>
      </c>
      <c r="F20" s="29">
        <v>47861</v>
      </c>
      <c r="G20" s="29">
        <v>0</v>
      </c>
      <c r="H20" s="29">
        <v>0</v>
      </c>
      <c r="I20" s="29">
        <v>0</v>
      </c>
      <c r="J20" s="30">
        <f t="shared" si="0"/>
        <v>47861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57EAB-553A-934D-8131-C1773C55E62F}">
  <dimension ref="A1:J20"/>
  <sheetViews>
    <sheetView tabSelected="1" topLeftCell="C1" zoomScale="137" workbookViewId="0">
      <selection activeCell="D25" sqref="D25"/>
    </sheetView>
  </sheetViews>
  <sheetFormatPr baseColWidth="10" defaultRowHeight="16" x14ac:dyDescent="0.2"/>
  <cols>
    <col min="2" max="2" width="11.1640625" bestFit="1" customWidth="1"/>
    <col min="3" max="3" width="12.6640625" bestFit="1" customWidth="1"/>
    <col min="4" max="5" width="11.6640625" bestFit="1" customWidth="1"/>
    <col min="6" max="6" width="12.6640625" bestFit="1" customWidth="1"/>
    <col min="7" max="7" width="11.1640625" bestFit="1" customWidth="1"/>
    <col min="8" max="9" width="12.6640625" bestFit="1" customWidth="1"/>
  </cols>
  <sheetData>
    <row r="1" spans="1:10" ht="17" thickBot="1" x14ac:dyDescent="0.25">
      <c r="A1" s="10" t="s">
        <v>19</v>
      </c>
      <c r="B1" s="20" t="s">
        <v>21</v>
      </c>
      <c r="C1" s="21" t="s">
        <v>22</v>
      </c>
      <c r="D1" s="21" t="s">
        <v>23</v>
      </c>
      <c r="E1" s="21" t="s">
        <v>24</v>
      </c>
      <c r="F1" s="21" t="s">
        <v>25</v>
      </c>
      <c r="G1" s="21" t="s">
        <v>26</v>
      </c>
      <c r="H1" s="21" t="s">
        <v>27</v>
      </c>
      <c r="I1" s="21" t="s">
        <v>28</v>
      </c>
      <c r="J1" s="22" t="s">
        <v>29</v>
      </c>
    </row>
    <row r="2" spans="1:10" x14ac:dyDescent="0.2">
      <c r="A2" s="4" t="s">
        <v>0</v>
      </c>
      <c r="B2" s="23">
        <v>0</v>
      </c>
      <c r="C2" s="25">
        <v>0</v>
      </c>
      <c r="D2" s="25">
        <v>0</v>
      </c>
      <c r="E2" s="25">
        <v>0</v>
      </c>
      <c r="F2" s="15">
        <v>8364.1038819999994</v>
      </c>
      <c r="G2" s="25">
        <v>0</v>
      </c>
      <c r="H2" s="25">
        <v>0</v>
      </c>
      <c r="I2" s="15">
        <v>2254.3073749999999</v>
      </c>
      <c r="J2" s="16">
        <f>SUM(B2:I2)</f>
        <v>10618.411257</v>
      </c>
    </row>
    <row r="3" spans="1:10" x14ac:dyDescent="0.2">
      <c r="A3" s="4" t="s">
        <v>1</v>
      </c>
      <c r="B3" s="23">
        <v>0</v>
      </c>
      <c r="C3" s="25">
        <v>0</v>
      </c>
      <c r="D3" s="25">
        <v>0</v>
      </c>
      <c r="E3" s="25">
        <v>0</v>
      </c>
      <c r="F3" s="15">
        <v>1219.889222</v>
      </c>
      <c r="G3" s="25">
        <v>0</v>
      </c>
      <c r="H3" s="25">
        <v>0</v>
      </c>
      <c r="I3" s="15">
        <v>1982.3845140000001</v>
      </c>
      <c r="J3" s="16">
        <f t="shared" ref="J3:J20" si="0">SUM(B3:I3)</f>
        <v>3202.2737360000001</v>
      </c>
    </row>
    <row r="4" spans="1:10" x14ac:dyDescent="0.2">
      <c r="A4" s="4" t="s">
        <v>2</v>
      </c>
      <c r="B4" s="23">
        <v>0</v>
      </c>
      <c r="C4" s="25">
        <v>0</v>
      </c>
      <c r="D4" s="25">
        <v>0</v>
      </c>
      <c r="E4" s="25">
        <v>0</v>
      </c>
      <c r="F4" s="25">
        <v>0</v>
      </c>
      <c r="G4" s="25">
        <v>0</v>
      </c>
      <c r="H4" s="25">
        <v>0</v>
      </c>
      <c r="I4" s="15">
        <v>2740.3761869999998</v>
      </c>
      <c r="J4" s="16">
        <f t="shared" si="0"/>
        <v>2740.3761869999998</v>
      </c>
    </row>
    <row r="5" spans="1:10" x14ac:dyDescent="0.2">
      <c r="A5" s="4" t="s">
        <v>3</v>
      </c>
      <c r="B5" s="23">
        <v>0</v>
      </c>
      <c r="C5" s="25">
        <v>0</v>
      </c>
      <c r="D5" s="25">
        <v>0</v>
      </c>
      <c r="E5" s="25">
        <v>0</v>
      </c>
      <c r="F5" s="25">
        <v>0</v>
      </c>
      <c r="G5" s="25">
        <v>0</v>
      </c>
      <c r="H5" s="25">
        <v>0</v>
      </c>
      <c r="I5" s="15">
        <v>7944.1928749999997</v>
      </c>
      <c r="J5" s="16">
        <f t="shared" si="0"/>
        <v>7944.1928749999997</v>
      </c>
    </row>
    <row r="6" spans="1:10" x14ac:dyDescent="0.2">
      <c r="A6" s="4" t="s">
        <v>4</v>
      </c>
      <c r="B6" s="23">
        <v>0</v>
      </c>
      <c r="C6" s="25">
        <v>0</v>
      </c>
      <c r="D6" s="25">
        <v>0</v>
      </c>
      <c r="E6" s="25">
        <v>0</v>
      </c>
      <c r="F6" s="25">
        <v>0</v>
      </c>
      <c r="G6" s="25">
        <v>0</v>
      </c>
      <c r="H6" s="25">
        <v>0</v>
      </c>
      <c r="I6" s="15">
        <v>4039.7117290000001</v>
      </c>
      <c r="J6" s="16">
        <f t="shared" si="0"/>
        <v>4039.7117290000001</v>
      </c>
    </row>
    <row r="7" spans="1:10" x14ac:dyDescent="0.2">
      <c r="A7" s="4" t="s">
        <v>5</v>
      </c>
      <c r="B7" s="23">
        <v>0</v>
      </c>
      <c r="C7" s="25">
        <v>0</v>
      </c>
      <c r="D7" s="25">
        <v>0</v>
      </c>
      <c r="E7" s="25">
        <v>0</v>
      </c>
      <c r="F7" s="15">
        <v>5.4091111109999996</v>
      </c>
      <c r="G7" s="25">
        <v>0</v>
      </c>
      <c r="H7" s="25">
        <v>0</v>
      </c>
      <c r="I7" s="25">
        <v>0</v>
      </c>
      <c r="J7" s="16">
        <f t="shared" si="0"/>
        <v>5.4091111109999996</v>
      </c>
    </row>
    <row r="8" spans="1:10" x14ac:dyDescent="0.2">
      <c r="A8" s="4" t="s">
        <v>6</v>
      </c>
      <c r="B8" s="23">
        <v>0</v>
      </c>
      <c r="C8" s="25">
        <v>0</v>
      </c>
      <c r="D8" s="25">
        <v>0</v>
      </c>
      <c r="E8" s="25">
        <v>0</v>
      </c>
      <c r="F8" s="15">
        <v>11.239756939999999</v>
      </c>
      <c r="G8" s="25">
        <v>0</v>
      </c>
      <c r="H8" s="25">
        <v>0</v>
      </c>
      <c r="I8" s="25">
        <v>0</v>
      </c>
      <c r="J8" s="16">
        <f t="shared" si="0"/>
        <v>11.239756939999999</v>
      </c>
    </row>
    <row r="9" spans="1:10" x14ac:dyDescent="0.2">
      <c r="A9" s="4" t="s">
        <v>7</v>
      </c>
      <c r="B9" s="23">
        <v>0</v>
      </c>
      <c r="C9" s="25">
        <v>0</v>
      </c>
      <c r="D9" s="25">
        <v>0</v>
      </c>
      <c r="E9" s="15">
        <v>153.02201389999999</v>
      </c>
      <c r="F9" s="25">
        <v>0</v>
      </c>
      <c r="G9" s="25">
        <v>0</v>
      </c>
      <c r="H9" s="25">
        <v>0</v>
      </c>
      <c r="I9" s="25">
        <v>0</v>
      </c>
      <c r="J9" s="16">
        <f t="shared" si="0"/>
        <v>153.02201389999999</v>
      </c>
    </row>
    <row r="10" spans="1:10" x14ac:dyDescent="0.2">
      <c r="A10" s="4" t="s">
        <v>8</v>
      </c>
      <c r="B10" s="23">
        <v>0</v>
      </c>
      <c r="C10" s="25">
        <v>0</v>
      </c>
      <c r="D10" s="15">
        <v>762.52475000000004</v>
      </c>
      <c r="E10" s="15">
        <v>76.069131940000005</v>
      </c>
      <c r="F10" s="25">
        <v>0</v>
      </c>
      <c r="G10" s="25">
        <v>0</v>
      </c>
      <c r="H10" s="25">
        <v>0</v>
      </c>
      <c r="I10" s="25">
        <v>0</v>
      </c>
      <c r="J10" s="16">
        <f t="shared" si="0"/>
        <v>838.59388194000007</v>
      </c>
    </row>
    <row r="11" spans="1:10" x14ac:dyDescent="0.2">
      <c r="A11" s="4" t="s">
        <v>9</v>
      </c>
      <c r="B11" s="23">
        <v>0</v>
      </c>
      <c r="C11" s="25">
        <v>0</v>
      </c>
      <c r="D11" s="15">
        <v>215.44281939999999</v>
      </c>
      <c r="E11" s="25">
        <v>0</v>
      </c>
      <c r="F11" s="15">
        <v>3455.1005829999999</v>
      </c>
      <c r="G11" s="25">
        <v>0</v>
      </c>
      <c r="H11" s="25">
        <v>0</v>
      </c>
      <c r="I11" s="25">
        <v>0</v>
      </c>
      <c r="J11" s="16">
        <f t="shared" si="0"/>
        <v>3670.5434024000001</v>
      </c>
    </row>
    <row r="12" spans="1:10" x14ac:dyDescent="0.2">
      <c r="A12" s="4" t="s">
        <v>10</v>
      </c>
      <c r="B12" s="23">
        <v>0</v>
      </c>
      <c r="C12" s="25">
        <v>0</v>
      </c>
      <c r="D12" s="25">
        <v>0</v>
      </c>
      <c r="E12" s="25">
        <v>0</v>
      </c>
      <c r="F12" s="25">
        <v>0</v>
      </c>
      <c r="G12" s="25">
        <v>0</v>
      </c>
      <c r="H12" s="15">
        <v>6751.5210489999999</v>
      </c>
      <c r="I12" s="25">
        <v>0</v>
      </c>
      <c r="J12" s="16">
        <f t="shared" si="0"/>
        <v>6751.5210489999999</v>
      </c>
    </row>
    <row r="13" spans="1:10" x14ac:dyDescent="0.2">
      <c r="A13" s="4" t="s">
        <v>11</v>
      </c>
      <c r="B13" s="19">
        <v>13.20504861</v>
      </c>
      <c r="C13" s="25">
        <v>0</v>
      </c>
      <c r="D13" s="25">
        <v>0</v>
      </c>
      <c r="E13" s="25">
        <v>0</v>
      </c>
      <c r="F13" s="25">
        <v>0</v>
      </c>
      <c r="G13" s="25">
        <v>0</v>
      </c>
      <c r="H13" s="25">
        <v>0</v>
      </c>
      <c r="I13" s="25">
        <v>0</v>
      </c>
      <c r="J13" s="16">
        <f t="shared" si="0"/>
        <v>13.20504861</v>
      </c>
    </row>
    <row r="14" spans="1:10" x14ac:dyDescent="0.2">
      <c r="A14" s="4" t="s">
        <v>12</v>
      </c>
      <c r="B14" s="19">
        <v>18.311159719999999</v>
      </c>
      <c r="C14" s="25">
        <v>0</v>
      </c>
      <c r="D14" s="25">
        <v>0</v>
      </c>
      <c r="E14" s="25">
        <v>0</v>
      </c>
      <c r="F14" s="25">
        <v>0</v>
      </c>
      <c r="G14" s="25">
        <v>0</v>
      </c>
      <c r="H14" s="25">
        <v>0</v>
      </c>
      <c r="I14" s="25">
        <v>0</v>
      </c>
      <c r="J14" s="16">
        <f t="shared" si="0"/>
        <v>18.311159719999999</v>
      </c>
    </row>
    <row r="15" spans="1:10" x14ac:dyDescent="0.2">
      <c r="A15" s="4" t="s">
        <v>13</v>
      </c>
      <c r="B15" s="23">
        <v>0</v>
      </c>
      <c r="C15" s="25">
        <v>0</v>
      </c>
      <c r="D15" s="25">
        <v>0</v>
      </c>
      <c r="E15" s="25">
        <v>0</v>
      </c>
      <c r="F15" s="25">
        <v>0</v>
      </c>
      <c r="G15" s="25">
        <v>0</v>
      </c>
      <c r="H15" s="15">
        <v>1634.8449169999999</v>
      </c>
      <c r="I15" s="25">
        <v>0</v>
      </c>
      <c r="J15" s="16">
        <f t="shared" si="0"/>
        <v>1634.8449169999999</v>
      </c>
    </row>
    <row r="16" spans="1:10" x14ac:dyDescent="0.2">
      <c r="A16" s="4" t="s">
        <v>14</v>
      </c>
      <c r="B16" s="19">
        <v>10.21432639</v>
      </c>
      <c r="C16" s="25">
        <v>0</v>
      </c>
      <c r="D16" s="25">
        <v>0</v>
      </c>
      <c r="E16" s="25">
        <v>0</v>
      </c>
      <c r="F16" s="25">
        <v>0</v>
      </c>
      <c r="G16" s="25">
        <v>0</v>
      </c>
      <c r="H16" s="15">
        <v>7499.1048129999999</v>
      </c>
      <c r="I16" s="25">
        <v>0</v>
      </c>
      <c r="J16" s="16">
        <f t="shared" si="0"/>
        <v>7509.3191393899997</v>
      </c>
    </row>
    <row r="17" spans="1:10" x14ac:dyDescent="0.2">
      <c r="A17" s="4" t="s">
        <v>15</v>
      </c>
      <c r="B17" s="23">
        <v>0</v>
      </c>
      <c r="C17" s="25">
        <v>0</v>
      </c>
      <c r="D17" s="25">
        <v>0</v>
      </c>
      <c r="E17" s="25">
        <v>0</v>
      </c>
      <c r="F17" s="25">
        <v>0</v>
      </c>
      <c r="G17" s="25">
        <v>0</v>
      </c>
      <c r="H17" s="25">
        <v>0</v>
      </c>
      <c r="I17" s="15">
        <v>42.438937500000002</v>
      </c>
      <c r="J17" s="16">
        <f t="shared" si="0"/>
        <v>42.438937500000002</v>
      </c>
    </row>
    <row r="18" spans="1:10" x14ac:dyDescent="0.2">
      <c r="A18" s="4" t="s">
        <v>16</v>
      </c>
      <c r="B18" s="23">
        <v>0</v>
      </c>
      <c r="C18" s="15">
        <v>1275.8846040000001</v>
      </c>
      <c r="D18" s="25">
        <v>0</v>
      </c>
      <c r="E18" s="25">
        <v>0</v>
      </c>
      <c r="F18" s="25">
        <v>0</v>
      </c>
      <c r="G18" s="15">
        <v>17.219097219999998</v>
      </c>
      <c r="H18" s="25">
        <v>0</v>
      </c>
      <c r="I18" s="25">
        <v>0</v>
      </c>
      <c r="J18" s="16">
        <f t="shared" si="0"/>
        <v>1293.1037012200002</v>
      </c>
    </row>
    <row r="19" spans="1:10" x14ac:dyDescent="0.2">
      <c r="A19" s="4" t="s">
        <v>17</v>
      </c>
      <c r="B19" s="23">
        <v>0</v>
      </c>
      <c r="C19" s="25">
        <v>0</v>
      </c>
      <c r="D19" s="25">
        <v>0</v>
      </c>
      <c r="E19" s="25">
        <v>0</v>
      </c>
      <c r="F19" s="15">
        <v>3789.9744999999998</v>
      </c>
      <c r="G19" s="25">
        <v>0</v>
      </c>
      <c r="H19" s="25">
        <v>0</v>
      </c>
      <c r="I19" s="25">
        <v>0</v>
      </c>
      <c r="J19" s="16">
        <f t="shared" si="0"/>
        <v>3789.9744999999998</v>
      </c>
    </row>
    <row r="20" spans="1:10" ht="17" thickBot="1" x14ac:dyDescent="0.25">
      <c r="A20" s="5" t="s">
        <v>18</v>
      </c>
      <c r="B20" s="24">
        <v>0</v>
      </c>
      <c r="C20" s="26">
        <v>0</v>
      </c>
      <c r="D20" s="26">
        <v>0</v>
      </c>
      <c r="E20" s="26">
        <v>0</v>
      </c>
      <c r="F20" s="17">
        <v>3081.1067010000002</v>
      </c>
      <c r="G20" s="26">
        <v>0</v>
      </c>
      <c r="H20" s="26">
        <v>0</v>
      </c>
      <c r="I20" s="26">
        <v>0</v>
      </c>
      <c r="J20" s="18">
        <f t="shared" si="0"/>
        <v>3081.1067010000002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Performance</vt:lpstr>
      <vt:lpstr>Fuel Consumption</vt:lpstr>
      <vt:lpstr>Seat Capacity</vt:lpstr>
      <vt:lpstr>Total Departures (2024)</vt:lpstr>
      <vt:lpstr>Cumulative Flying Time (2024)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Eskenazi</dc:creator>
  <cp:lastModifiedBy>Andy Guido Eskenazi</cp:lastModifiedBy>
  <dcterms:created xsi:type="dcterms:W3CDTF">2025-10-01T14:21:55Z</dcterms:created>
  <dcterms:modified xsi:type="dcterms:W3CDTF">2026-03-15T14:51:47Z</dcterms:modified>
</cp:coreProperties>
</file>